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cfemex-my.sharepoint.com/personal/david_limon_cfe_mx/Documents/RESPALDO DAVID LIMON/iSE/Python y Power BI/Python/quiniela_corporativa/"/>
    </mc:Choice>
  </mc:AlternateContent>
  <xr:revisionPtr revIDLastSave="132" documentId="8_{4B119FBF-818B-466F-B1F3-AB97609A7929}" xr6:coauthVersionLast="47" xr6:coauthVersionMax="47" xr10:uidLastSave="{999AD8C7-C70A-4F77-994D-AB3D4C3989EE}"/>
  <bookViews>
    <workbookView xWindow="-108" yWindow="-108" windowWidth="23256" windowHeight="13896" xr2:uid="{00000000-000D-0000-FFFF-FFFF00000000}"/>
  </bookViews>
  <sheets>
    <sheet name="FIFA 2026" sheetId="3" r:id="rId1"/>
    <sheet name="Hoja1" sheetId="14" state="hidden" r:id="rId2"/>
    <sheet name="DIECISEISAVOS" sheetId="10" r:id="rId3"/>
    <sheet name="OCTAVOS" sheetId="11" r:id="rId4"/>
    <sheet name="CUARTOS" sheetId="12" r:id="rId5"/>
    <sheet name="SEMIFINALES Y FINALES" sheetId="13" r:id="rId6"/>
    <sheet name="Hoja2" sheetId="2" state="hidden" r:id="rId7"/>
  </sheets>
  <definedNames>
    <definedName name="_xlnm._FilterDatabase" localSheetId="4" hidden="1">CUARTOS!$I$2:$N$13</definedName>
    <definedName name="_xlnm._FilterDatabase" localSheetId="2" hidden="1">DIECISEISAVOS!$I$2:$X$37</definedName>
    <definedName name="_xlnm._FilterDatabase" localSheetId="0" hidden="1">'FIFA 2026'!$J$2:$AT$153</definedName>
    <definedName name="_xlnm._FilterDatabase" localSheetId="3" hidden="1">OCTAVOS!$I$2:$Q$21</definedName>
    <definedName name="_xlnm._FilterDatabase" localSheetId="5" hidden="1">'SEMIFINALES Y FINALES'!$I$2:$L$13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2" i="3" l="1"/>
  <c r="J6" i="3"/>
  <c r="J5" i="3"/>
  <c r="P6" i="3"/>
  <c r="AD6" i="3"/>
  <c r="AQ6" i="3"/>
  <c r="V6" i="3"/>
  <c r="P7" i="3"/>
  <c r="AD7" i="3"/>
  <c r="AQ7" i="3"/>
  <c r="V7" i="3"/>
  <c r="P152" i="3"/>
  <c r="AD152" i="3"/>
  <c r="AQ152" i="3"/>
  <c r="V152" i="3"/>
  <c r="AB6" i="3" l="1"/>
  <c r="N6" i="3"/>
  <c r="AC6" i="3"/>
  <c r="AB7" i="3"/>
  <c r="N7" i="3"/>
  <c r="AC7" i="3"/>
  <c r="AB152" i="3"/>
  <c r="N152" i="3"/>
  <c r="AC152" i="3"/>
  <c r="J7" i="3"/>
  <c r="J152" i="3"/>
  <c r="AH6" i="3"/>
  <c r="AI6" i="3" l="1"/>
  <c r="AF6" i="3"/>
  <c r="T6" i="3"/>
  <c r="K6" i="3"/>
  <c r="AN6" i="3"/>
  <c r="U6" i="3"/>
  <c r="AA6" i="3"/>
  <c r="X6" i="3"/>
  <c r="AM6" i="3"/>
  <c r="AR6" i="3"/>
  <c r="S6" i="3"/>
  <c r="Z6" i="3"/>
  <c r="Q6" i="3"/>
  <c r="Y6" i="3"/>
  <c r="AT6" i="3"/>
  <c r="M6" i="3"/>
  <c r="AE6" i="3"/>
  <c r="AJ6" i="3"/>
  <c r="AG6" i="3"/>
  <c r="AO6" i="3"/>
  <c r="AP6" i="3"/>
  <c r="AK6" i="3"/>
  <c r="O6" i="3"/>
  <c r="AL6" i="3"/>
  <c r="W6" i="3"/>
  <c r="R6" i="3"/>
  <c r="L6" i="3"/>
  <c r="AS6" i="3"/>
  <c r="AI7" i="3"/>
  <c r="AF7" i="3"/>
  <c r="T7" i="3"/>
  <c r="K7" i="3"/>
  <c r="AN7" i="3"/>
  <c r="U7" i="3"/>
  <c r="AA7" i="3"/>
  <c r="X7" i="3"/>
  <c r="AM7" i="3"/>
  <c r="AR7" i="3"/>
  <c r="S7" i="3"/>
  <c r="Z7" i="3"/>
  <c r="Q7" i="3"/>
  <c r="Y7" i="3"/>
  <c r="AT7" i="3"/>
  <c r="M7" i="3"/>
  <c r="AE7" i="3"/>
  <c r="AJ7" i="3"/>
  <c r="AG7" i="3"/>
  <c r="AO7" i="3"/>
  <c r="AP7" i="3"/>
  <c r="AK7" i="3"/>
  <c r="O7" i="3"/>
  <c r="AL7" i="3"/>
  <c r="W7" i="3"/>
  <c r="R7" i="3"/>
  <c r="L7" i="3"/>
  <c r="AS7" i="3"/>
  <c r="AH7" i="3"/>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5" i="14"/>
  <c r="K41" i="14" l="1"/>
  <c r="K5" i="14"/>
  <c r="AS152" i="3"/>
  <c r="L152" i="3"/>
  <c r="R152" i="3"/>
  <c r="W152" i="3"/>
  <c r="AL152" i="3"/>
  <c r="O152" i="3"/>
  <c r="AK152" i="3"/>
  <c r="AP152" i="3"/>
  <c r="AO152" i="3"/>
  <c r="AG152" i="3"/>
  <c r="AJ152" i="3"/>
  <c r="AE152" i="3"/>
  <c r="M152" i="3"/>
  <c r="AT152" i="3"/>
  <c r="Y152" i="3"/>
  <c r="Q152" i="3"/>
  <c r="Z152" i="3"/>
  <c r="S152" i="3"/>
  <c r="AR152" i="3"/>
  <c r="AM152" i="3"/>
  <c r="X152" i="3"/>
  <c r="AA152" i="3"/>
  <c r="U152" i="3"/>
  <c r="AN152" i="3"/>
  <c r="K152" i="3"/>
  <c r="T152" i="3"/>
  <c r="AF152" i="3"/>
  <c r="AH152" i="3"/>
  <c r="AI152" i="3"/>
  <c r="K3" i="12" l="1"/>
  <c r="L3" i="12"/>
  <c r="M3" i="12"/>
  <c r="N3" i="12"/>
  <c r="K12" i="12"/>
  <c r="L12" i="12"/>
  <c r="M12" i="12"/>
  <c r="N12" i="12"/>
  <c r="J12" i="12"/>
  <c r="J3" i="12"/>
  <c r="I12" i="12"/>
  <c r="I3" i="12"/>
  <c r="K12" i="13" l="1"/>
  <c r="L12" i="13"/>
  <c r="J12" i="13"/>
  <c r="I12" i="13"/>
  <c r="H12" i="13"/>
  <c r="L17" i="13" s="1"/>
  <c r="H10" i="13"/>
  <c r="H8" i="13"/>
  <c r="H6" i="13"/>
  <c r="H4" i="13"/>
  <c r="K3" i="13" s="1"/>
  <c r="H12" i="12"/>
  <c r="H10" i="12"/>
  <c r="H8" i="12"/>
  <c r="H6" i="12"/>
  <c r="H4" i="12"/>
  <c r="Q20" i="11"/>
  <c r="P20" i="11"/>
  <c r="O20" i="11"/>
  <c r="N20" i="11"/>
  <c r="M20" i="11"/>
  <c r="L20" i="11"/>
  <c r="K20" i="11"/>
  <c r="J20" i="11"/>
  <c r="I20" i="11"/>
  <c r="H20" i="11"/>
  <c r="Q25" i="11" s="1"/>
  <c r="H18" i="11"/>
  <c r="H16" i="11"/>
  <c r="H14" i="11"/>
  <c r="H12" i="11"/>
  <c r="H10" i="11"/>
  <c r="H8" i="11"/>
  <c r="H6" i="11"/>
  <c r="H4" i="11"/>
  <c r="K36" i="10"/>
  <c r="L36" i="10"/>
  <c r="M36" i="10"/>
  <c r="N36" i="10"/>
  <c r="O36" i="10"/>
  <c r="P36" i="10"/>
  <c r="Q36" i="10"/>
  <c r="R36" i="10"/>
  <c r="S36" i="10"/>
  <c r="T36" i="10"/>
  <c r="U36" i="10"/>
  <c r="V36" i="10"/>
  <c r="W36" i="10"/>
  <c r="X36" i="10"/>
  <c r="J36" i="10"/>
  <c r="I36" i="10"/>
  <c r="H36" i="10"/>
  <c r="H34" i="10"/>
  <c r="H32" i="10"/>
  <c r="H30" i="10"/>
  <c r="H28" i="10"/>
  <c r="H26" i="10"/>
  <c r="H24" i="10"/>
  <c r="H22" i="10"/>
  <c r="H20" i="10"/>
  <c r="H18" i="10"/>
  <c r="H16" i="10"/>
  <c r="H14" i="10"/>
  <c r="H12" i="10"/>
  <c r="H10" i="10"/>
  <c r="H8" i="10"/>
  <c r="H6" i="10"/>
  <c r="H4" i="10"/>
  <c r="I150" i="3"/>
  <c r="I148" i="3"/>
  <c r="I146" i="3"/>
  <c r="I144" i="3"/>
  <c r="I142" i="3"/>
  <c r="I140" i="3"/>
  <c r="I138" i="3"/>
  <c r="I136" i="3"/>
  <c r="I134" i="3"/>
  <c r="I132" i="3"/>
  <c r="I130" i="3"/>
  <c r="I128" i="3"/>
  <c r="I126" i="3"/>
  <c r="I124" i="3"/>
  <c r="I122" i="3"/>
  <c r="I120" i="3"/>
  <c r="I118" i="3"/>
  <c r="I116" i="3"/>
  <c r="I114" i="3"/>
  <c r="I112" i="3"/>
  <c r="I110" i="3"/>
  <c r="I108" i="3"/>
  <c r="I106" i="3"/>
  <c r="I104" i="3"/>
  <c r="I102" i="3"/>
  <c r="I100" i="3"/>
  <c r="I98" i="3"/>
  <c r="I96" i="3"/>
  <c r="I94" i="3"/>
  <c r="I92" i="3"/>
  <c r="I90" i="3"/>
  <c r="I88" i="3"/>
  <c r="I86" i="3"/>
  <c r="I84" i="3"/>
  <c r="I82" i="3"/>
  <c r="I80" i="3"/>
  <c r="AD5" i="3" l="1"/>
  <c r="AQ5" i="3"/>
  <c r="V5" i="3"/>
  <c r="P5" i="3"/>
  <c r="AB5" i="3"/>
  <c r="N5" i="3"/>
  <c r="AC5" i="3"/>
  <c r="AI5" i="3"/>
  <c r="AF5" i="3"/>
  <c r="T5" i="3"/>
  <c r="AP5" i="3"/>
  <c r="K5" i="3"/>
  <c r="AN5" i="3"/>
  <c r="U5" i="3"/>
  <c r="AA5" i="3"/>
  <c r="X5" i="3"/>
  <c r="AM5" i="3"/>
  <c r="AR5" i="3"/>
  <c r="S5" i="3"/>
  <c r="Z5" i="3"/>
  <c r="AL5" i="3"/>
  <c r="Q5" i="3"/>
  <c r="W5" i="3"/>
  <c r="Y5" i="3"/>
  <c r="R5" i="3"/>
  <c r="AT5" i="3"/>
  <c r="L5" i="3"/>
  <c r="M5" i="3"/>
  <c r="AS5" i="3"/>
  <c r="AE5" i="3"/>
  <c r="AJ5" i="3"/>
  <c r="AG5" i="3"/>
  <c r="AO5" i="3"/>
  <c r="AK5" i="3"/>
  <c r="O5" i="3"/>
  <c r="AH5" i="3"/>
  <c r="I3" i="13"/>
  <c r="I16" i="13"/>
  <c r="J14" i="13"/>
  <c r="J3" i="13"/>
  <c r="K14" i="13"/>
  <c r="L14" i="13"/>
  <c r="L3" i="13"/>
  <c r="K3" i="10"/>
  <c r="J16" i="13"/>
  <c r="K16" i="13"/>
  <c r="I14" i="13"/>
  <c r="L16" i="13"/>
  <c r="I15" i="13"/>
  <c r="I17" i="13"/>
  <c r="J15" i="13"/>
  <c r="J13" i="13" s="1"/>
  <c r="J17" i="13"/>
  <c r="K15" i="13"/>
  <c r="K17" i="13"/>
  <c r="L15" i="13"/>
  <c r="L13" i="13" s="1"/>
  <c r="N14" i="12"/>
  <c r="M15" i="12"/>
  <c r="I14" i="12"/>
  <c r="J14" i="12"/>
  <c r="J13" i="12" s="1"/>
  <c r="K17" i="12"/>
  <c r="L17" i="12"/>
  <c r="L14" i="12"/>
  <c r="M17" i="12"/>
  <c r="M14" i="12"/>
  <c r="K15" i="12"/>
  <c r="L15" i="12"/>
  <c r="I16" i="12"/>
  <c r="N15" i="12"/>
  <c r="N17" i="12"/>
  <c r="J16" i="12"/>
  <c r="M16" i="12"/>
  <c r="L16" i="12"/>
  <c r="N16" i="12"/>
  <c r="K14" i="12"/>
  <c r="K16" i="12"/>
  <c r="I15" i="12"/>
  <c r="I17" i="12"/>
  <c r="J15" i="12"/>
  <c r="J17" i="12"/>
  <c r="I22" i="11"/>
  <c r="I3" i="11"/>
  <c r="J22" i="11"/>
  <c r="K22" i="11"/>
  <c r="L22" i="11"/>
  <c r="M22" i="11"/>
  <c r="N22" i="11"/>
  <c r="Q22" i="11"/>
  <c r="O22" i="11"/>
  <c r="P23" i="11"/>
  <c r="P22" i="11"/>
  <c r="P25" i="11"/>
  <c r="O23" i="11"/>
  <c r="I24" i="11"/>
  <c r="O25" i="11"/>
  <c r="J3" i="11"/>
  <c r="K24" i="11"/>
  <c r="K3" i="11"/>
  <c r="L24" i="11"/>
  <c r="L3" i="11"/>
  <c r="M24" i="11"/>
  <c r="M3" i="11"/>
  <c r="N24" i="11"/>
  <c r="Q24" i="11"/>
  <c r="J24" i="11"/>
  <c r="N3" i="11"/>
  <c r="Q3" i="11"/>
  <c r="I23" i="11"/>
  <c r="O24" i="11"/>
  <c r="I25" i="11"/>
  <c r="O3" i="11"/>
  <c r="J23" i="11"/>
  <c r="J21" i="11" s="1"/>
  <c r="P24" i="11"/>
  <c r="P21" i="11" s="1"/>
  <c r="J25" i="11"/>
  <c r="P3" i="11"/>
  <c r="K23" i="11"/>
  <c r="K21" i="11" s="1"/>
  <c r="K25" i="11"/>
  <c r="L23" i="11"/>
  <c r="L21" i="11" s="1"/>
  <c r="L25" i="11"/>
  <c r="M23" i="11"/>
  <c r="M21" i="11" s="1"/>
  <c r="M25" i="11"/>
  <c r="N23" i="11"/>
  <c r="Q23" i="11"/>
  <c r="Q21" i="11" s="1"/>
  <c r="N25" i="11"/>
  <c r="I3" i="10"/>
  <c r="U3" i="10"/>
  <c r="J3" i="10"/>
  <c r="T3" i="10"/>
  <c r="W3" i="10"/>
  <c r="S3" i="10"/>
  <c r="V3" i="10"/>
  <c r="R3" i="10"/>
  <c r="Q3" i="10"/>
  <c r="P3" i="10"/>
  <c r="O3" i="10"/>
  <c r="N3" i="10"/>
  <c r="M3" i="10"/>
  <c r="X3" i="10"/>
  <c r="L3" i="10"/>
  <c r="Q38" i="10"/>
  <c r="R38" i="10"/>
  <c r="S38" i="10"/>
  <c r="T38" i="10"/>
  <c r="U38" i="10"/>
  <c r="J38" i="10"/>
  <c r="L38" i="10"/>
  <c r="O38" i="10"/>
  <c r="I38" i="10"/>
  <c r="V38" i="10"/>
  <c r="W38" i="10"/>
  <c r="N38" i="10"/>
  <c r="P38" i="10"/>
  <c r="K38" i="10"/>
  <c r="X38" i="10"/>
  <c r="M38" i="10"/>
  <c r="O39" i="10"/>
  <c r="I40" i="10"/>
  <c r="U40" i="10"/>
  <c r="O41" i="10"/>
  <c r="P39" i="10"/>
  <c r="J40" i="10"/>
  <c r="V40" i="10"/>
  <c r="P41" i="10"/>
  <c r="Q39" i="10"/>
  <c r="K40" i="10"/>
  <c r="W40" i="10"/>
  <c r="Q41" i="10"/>
  <c r="R39" i="10"/>
  <c r="L40" i="10"/>
  <c r="X40" i="10"/>
  <c r="R41" i="10"/>
  <c r="S39" i="10"/>
  <c r="M40" i="10"/>
  <c r="S41" i="10"/>
  <c r="T39" i="10"/>
  <c r="N40" i="10"/>
  <c r="T41" i="10"/>
  <c r="I39" i="10"/>
  <c r="U39" i="10"/>
  <c r="O40" i="10"/>
  <c r="I41" i="10"/>
  <c r="U41" i="10"/>
  <c r="J39" i="10"/>
  <c r="V39" i="10"/>
  <c r="P40" i="10"/>
  <c r="J41" i="10"/>
  <c r="V41" i="10"/>
  <c r="K39" i="10"/>
  <c r="W39" i="10"/>
  <c r="Q40" i="10"/>
  <c r="K41" i="10"/>
  <c r="W41" i="10"/>
  <c r="L39" i="10"/>
  <c r="X39" i="10"/>
  <c r="R40" i="10"/>
  <c r="L41" i="10"/>
  <c r="X41" i="10"/>
  <c r="M39" i="10"/>
  <c r="S40" i="10"/>
  <c r="M41" i="10"/>
  <c r="N39" i="10"/>
  <c r="T40" i="10"/>
  <c r="N41" i="10"/>
  <c r="N13" i="12" l="1"/>
  <c r="L13" i="12"/>
  <c r="K13" i="12"/>
  <c r="M13" i="12"/>
  <c r="I13" i="12"/>
  <c r="N37" i="10"/>
  <c r="K13" i="13"/>
  <c r="N21" i="11"/>
  <c r="I21" i="11"/>
  <c r="O21" i="11"/>
  <c r="I13" i="13"/>
  <c r="L37" i="10"/>
  <c r="S37" i="10"/>
  <c r="O37" i="10"/>
  <c r="Q37" i="10"/>
  <c r="W37" i="10"/>
  <c r="T37" i="10"/>
  <c r="K37" i="10"/>
  <c r="R37" i="10"/>
  <c r="X37" i="10"/>
  <c r="J37" i="10"/>
  <c r="M37" i="10"/>
  <c r="V37" i="10"/>
  <c r="U37" i="10"/>
  <c r="P37" i="10"/>
  <c r="I37" i="10"/>
  <c r="I76" i="3"/>
  <c r="AR155" i="3" l="1"/>
  <c r="AQ156" i="3"/>
  <c r="AS155" i="3"/>
  <c r="AT155" i="3"/>
  <c r="AR156" i="3"/>
  <c r="AS156" i="3"/>
  <c r="AQ154" i="3"/>
  <c r="AR157" i="3"/>
  <c r="AR154" i="3"/>
  <c r="AT157" i="3"/>
  <c r="AQ155" i="3"/>
  <c r="AQ157" i="3"/>
  <c r="AT156" i="3"/>
  <c r="AT154" i="3"/>
  <c r="AS154" i="3"/>
  <c r="AS157" i="3"/>
  <c r="AN156" i="3"/>
  <c r="AO156" i="3"/>
  <c r="AP157" i="3"/>
  <c r="AP155" i="3"/>
  <c r="AN154" i="3"/>
  <c r="AO155" i="3"/>
  <c r="AN155" i="3"/>
  <c r="AN157" i="3"/>
  <c r="AP156" i="3"/>
  <c r="AO157" i="3"/>
  <c r="AP154" i="3"/>
  <c r="AO154" i="3"/>
  <c r="AM156" i="3"/>
  <c r="AM157" i="3"/>
  <c r="AM155" i="3"/>
  <c r="AM154" i="3"/>
  <c r="V157" i="3"/>
  <c r="V155" i="3"/>
  <c r="V156" i="3"/>
  <c r="X156" i="3"/>
  <c r="W157" i="3"/>
  <c r="X157" i="3"/>
  <c r="V154" i="3"/>
  <c r="X154" i="3"/>
  <c r="W155" i="3"/>
  <c r="X155" i="3"/>
  <c r="W156" i="3"/>
  <c r="W154" i="3"/>
  <c r="I8" i="3"/>
  <c r="R155" i="3" l="1"/>
  <c r="R154" i="3"/>
  <c r="R156" i="3"/>
  <c r="R157" i="3"/>
  <c r="I78" i="3" l="1"/>
  <c r="I74" i="3"/>
  <c r="I72" i="3"/>
  <c r="I70" i="3"/>
  <c r="I68" i="3"/>
  <c r="I66" i="3"/>
  <c r="I64" i="3"/>
  <c r="I62" i="3"/>
  <c r="I60" i="3"/>
  <c r="I58" i="3"/>
  <c r="I56" i="3"/>
  <c r="I54" i="3"/>
  <c r="I52" i="3"/>
  <c r="I50" i="3"/>
  <c r="I48" i="3"/>
  <c r="I46" i="3"/>
  <c r="I44" i="3"/>
  <c r="I42" i="3"/>
  <c r="I40" i="3"/>
  <c r="I38" i="3"/>
  <c r="I36" i="3"/>
  <c r="I34" i="3"/>
  <c r="I32" i="3"/>
  <c r="I30" i="3"/>
  <c r="I28" i="3"/>
  <c r="I26" i="3"/>
  <c r="I24" i="3"/>
  <c r="I22" i="3"/>
  <c r="I20" i="3"/>
  <c r="I18" i="3"/>
  <c r="I16" i="3"/>
  <c r="I14" i="3"/>
  <c r="I12" i="3"/>
  <c r="I10" i="3"/>
  <c r="AD4" i="3" l="1"/>
  <c r="AD3" i="3" s="1"/>
  <c r="AQ4" i="3"/>
  <c r="AQ3" i="3" s="1"/>
  <c r="V4" i="3"/>
  <c r="V3" i="3" s="1"/>
  <c r="P4" i="3"/>
  <c r="P3" i="3" s="1"/>
  <c r="J4" i="3"/>
  <c r="J3" i="3" s="1"/>
  <c r="AB4" i="3"/>
  <c r="AB3" i="3" s="1"/>
  <c r="AC4" i="3"/>
  <c r="AC3" i="3" s="1"/>
  <c r="N4" i="3"/>
  <c r="N3" i="3" s="1"/>
  <c r="U4" i="3"/>
  <c r="U3" i="3" s="1"/>
  <c r="AJ4" i="3"/>
  <c r="AJ3" i="3" s="1"/>
  <c r="AA4" i="3"/>
  <c r="AA3" i="3" s="1"/>
  <c r="AG4" i="3"/>
  <c r="AG3" i="3" s="1"/>
  <c r="X4" i="3"/>
  <c r="X3" i="3" s="1"/>
  <c r="AO4" i="3"/>
  <c r="AO3" i="3" s="1"/>
  <c r="AP4" i="3"/>
  <c r="AP3" i="3" s="1"/>
  <c r="AK4" i="3"/>
  <c r="AK3" i="3" s="1"/>
  <c r="AN4" i="3"/>
  <c r="AN3" i="3" s="1"/>
  <c r="AM4" i="3"/>
  <c r="AM3" i="3" s="1"/>
  <c r="AR4" i="3"/>
  <c r="AR3" i="3" s="1"/>
  <c r="S4" i="3"/>
  <c r="S3" i="3" s="1"/>
  <c r="O4" i="3"/>
  <c r="O3" i="3" s="1"/>
  <c r="AH4" i="3"/>
  <c r="AH3" i="3" s="1"/>
  <c r="Z4" i="3"/>
  <c r="Z3" i="3" s="1"/>
  <c r="AL4" i="3"/>
  <c r="AL3" i="3" s="1"/>
  <c r="L4" i="3"/>
  <c r="L3" i="3" s="1"/>
  <c r="AI4" i="3"/>
  <c r="AI3" i="3" s="1"/>
  <c r="Q4" i="3"/>
  <c r="Q3" i="3" s="1"/>
  <c r="W4" i="3"/>
  <c r="W3" i="3" s="1"/>
  <c r="T4" i="3"/>
  <c r="T3" i="3" s="1"/>
  <c r="M4" i="3"/>
  <c r="M3" i="3" s="1"/>
  <c r="AF4" i="3"/>
  <c r="AF3" i="3" s="1"/>
  <c r="Y4" i="3"/>
  <c r="Y3" i="3" s="1"/>
  <c r="R4" i="3"/>
  <c r="R3" i="3" s="1"/>
  <c r="AT4" i="3"/>
  <c r="AT3" i="3" s="1"/>
  <c r="K4" i="3"/>
  <c r="K3" i="3" s="1"/>
  <c r="AE4" i="3"/>
  <c r="AE3" i="3" s="1"/>
  <c r="AS4" i="3"/>
  <c r="AS3" i="3" s="1"/>
  <c r="J157" i="3"/>
  <c r="L156" i="3"/>
  <c r="N157" i="3"/>
  <c r="P156" i="3"/>
  <c r="T156" i="3"/>
  <c r="Y157" i="3"/>
  <c r="AA156" i="3"/>
  <c r="AC157" i="3"/>
  <c r="AE156" i="3"/>
  <c r="AG157" i="3"/>
  <c r="AI156" i="3"/>
  <c r="AK157" i="3"/>
  <c r="AE155" i="3"/>
  <c r="AK154" i="3"/>
  <c r="Y156" i="3"/>
  <c r="AA157" i="3"/>
  <c r="AC154" i="3"/>
  <c r="T155" i="3"/>
  <c r="AG156" i="3"/>
  <c r="P157" i="3"/>
  <c r="AI157" i="3"/>
  <c r="N156" i="3"/>
  <c r="L155" i="3"/>
  <c r="J154" i="3"/>
  <c r="K154" i="3"/>
  <c r="M154" i="3"/>
  <c r="O154" i="3"/>
  <c r="Q154" i="3"/>
  <c r="S154" i="3"/>
  <c r="U154" i="3"/>
  <c r="Z154" i="3"/>
  <c r="AB154" i="3"/>
  <c r="AD154" i="3"/>
  <c r="AF154" i="3"/>
  <c r="AH154" i="3"/>
  <c r="AJ154" i="3"/>
  <c r="AL154" i="3"/>
  <c r="N154" i="3"/>
  <c r="Y154" i="3"/>
  <c r="AG154" i="3"/>
  <c r="P155" i="3"/>
  <c r="AA155" i="3"/>
  <c r="AI155" i="3"/>
  <c r="J156" i="3"/>
  <c r="AC156" i="3"/>
  <c r="AK156" i="3"/>
  <c r="L157" i="3"/>
  <c r="T157" i="3"/>
  <c r="AE157" i="3"/>
  <c r="L154" i="3"/>
  <c r="P154" i="3"/>
  <c r="T154" i="3"/>
  <c r="AA154" i="3"/>
  <c r="AE154" i="3"/>
  <c r="AI154" i="3"/>
  <c r="J155" i="3"/>
  <c r="N155" i="3"/>
  <c r="Y155" i="3"/>
  <c r="AC155" i="3"/>
  <c r="AG155" i="3"/>
  <c r="AK155" i="3"/>
  <c r="K155" i="3"/>
  <c r="M155" i="3"/>
  <c r="O155" i="3"/>
  <c r="Q155" i="3"/>
  <c r="S155" i="3"/>
  <c r="U155" i="3"/>
  <c r="Z155" i="3"/>
  <c r="AB155" i="3"/>
  <c r="AD155" i="3"/>
  <c r="AF155" i="3"/>
  <c r="AH155" i="3"/>
  <c r="AJ155" i="3"/>
  <c r="AL155" i="3"/>
  <c r="K156" i="3"/>
  <c r="M156" i="3"/>
  <c r="O156" i="3"/>
  <c r="Q156" i="3"/>
  <c r="S156" i="3"/>
  <c r="U156" i="3"/>
  <c r="Z156" i="3"/>
  <c r="AB156" i="3"/>
  <c r="AD156" i="3"/>
  <c r="AF156" i="3"/>
  <c r="AH156" i="3"/>
  <c r="AJ156" i="3"/>
  <c r="AL156" i="3"/>
  <c r="K157" i="3"/>
  <c r="M157" i="3"/>
  <c r="O157" i="3"/>
  <c r="Q157" i="3"/>
  <c r="S157" i="3"/>
  <c r="U157" i="3"/>
  <c r="Z157" i="3"/>
  <c r="AB157" i="3"/>
  <c r="AD157" i="3"/>
  <c r="AF157" i="3"/>
  <c r="AH157" i="3"/>
  <c r="AJ157" i="3"/>
  <c r="AL157" i="3"/>
  <c r="AQ153" i="3" l="1"/>
  <c r="AD153" i="3"/>
  <c r="N153" i="3"/>
  <c r="AB153" i="3"/>
  <c r="J153" i="3"/>
  <c r="V153" i="3"/>
  <c r="P153" i="3"/>
  <c r="AC153" i="3"/>
  <c r="Z153" i="3"/>
  <c r="Y153" i="3"/>
  <c r="Q153" i="3"/>
  <c r="AG153" i="3"/>
  <c r="S153" i="3"/>
  <c r="AS153" i="3"/>
  <c r="AJ153" i="3"/>
  <c r="AI153" i="3"/>
  <c r="AE153" i="3"/>
  <c r="O153" i="3"/>
  <c r="AH153" i="3"/>
  <c r="U153" i="3"/>
  <c r="AT153" i="3"/>
  <c r="AK153" i="3"/>
  <c r="AP153" i="3"/>
  <c r="AF153" i="3"/>
  <c r="AR153" i="3"/>
  <c r="AN153" i="3"/>
  <c r="T153" i="3"/>
  <c r="AL153" i="3"/>
  <c r="K153" i="3"/>
  <c r="W153" i="3"/>
  <c r="M153" i="3"/>
  <c r="X153" i="3"/>
  <c r="R153" i="3"/>
  <c r="AA153" i="3"/>
  <c r="AO153" i="3"/>
  <c r="L153" i="3"/>
  <c r="AM153" i="3"/>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 i="2"/>
</calcChain>
</file>

<file path=xl/sharedStrings.xml><?xml version="1.0" encoding="utf-8"?>
<sst xmlns="http://schemas.openxmlformats.org/spreadsheetml/2006/main" count="4460" uniqueCount="177">
  <si>
    <t>GRUPOS</t>
  </si>
  <si>
    <t>A</t>
  </si>
  <si>
    <t>B</t>
  </si>
  <si>
    <t>C</t>
  </si>
  <si>
    <t>D</t>
  </si>
  <si>
    <t>LOCAL</t>
  </si>
  <si>
    <t>VISITANTE</t>
  </si>
  <si>
    <t>L</t>
  </si>
  <si>
    <t>RESULTADOS ACIERTOS</t>
  </si>
  <si>
    <t>-</t>
  </si>
  <si>
    <t>TOTAL DE GOLES</t>
  </si>
  <si>
    <t>SI(G28-H28=</t>
  </si>
  <si>
    <t>;</t>
  </si>
  <si>
    <t>SI(G28-H28=2;98;SI(G28-H28=-2;98;SI(G28-H28=3;97;SI(G28-H28=-3;97;SI(G28-H28=4;96;SI(G28-H28=-4;96;SI(G28-H28=5;95;SI(G28-H28=-5;95;SI(G28-H28=6;94;SI(G28-H28=-6;94;SI(G28-H28=7;93;SI(G28-H28=-7;93;SI(G28-H28=8;92;SI(G28-H28=-8;92;SI(G28-H28=9;91;SI(G28-H28=-9;91;SI(G28-H28=10;90;SI(G28-H28=-10;90;SI(G28-H28=11;89;SI(G28-H28=-11;89;SI(G28-H28=12;88;SI(G28-H28=-12;88;SI(G28-H28=13;87;SI(G28-H28=-13;87;SI(G28-H28=14;86;SI(G28-H28=-14;86;SI(G28-H28=15;85;SI(G28-H28=-15;85;SI(G28-H28=16;84;SI(G28-H28=-16;84;SI(G28-H28=17;83;SI(G28-H28=-17;83;SI(G28-H28=18;82;SI(G28-H28=-18;82;SI(G28-H28=19;81;SI(G28-H28=-19;81;SI(G28-H28=20;80;SI(G28-H28=-20;80;SI(G28-H28=21;79;SI(G28-H28=-21;79;SI(G28-H28=22;78;SI(G28-H28=-22;78;SI(G28-H28=23;77;SI(G28-H28=-23;77;SI(G28-H28=24;76;SI(G28-H28=-24;76;SI(G28-H28=25;75;SI(G28-H28=-25;75;SI(G28-H28=26;74;SI(G28-H28=-26;74;SI(G28-H28=27;73;SI(G28-H28=-27;73;SI(G28-H28=28;72;SI(G28-H28=-28;72;SI(G28-H28=29;71;SI(G28-H28=-29;71;SI(G28-H28=30;70;SI(G28-H28=-30;70;SI(G28-H28=31;69;SI(G28-H28=-31;69;SI(G28-H28=32;68;SI(G28-H28=-32;68;SI(G28-H28=33;67;SI(G28-H28=-33;67;SI(G28-H28=34;66;SI(G28-H28=-34;66;SI(G28-H28=35;65;SI(G28-H28=-35;65;SI(G28-H28=36;64;SI(G28-H28=-36;64;SI(G28-H28=37;63;SI(G28-H28=-37;63;SI(G28-H28=38;62;SI(G28-H28=-38;62;SI(G28-H28=39;61;SI(G28-H28=-39;61;SI(G28-H28=40;60;SI(G28-H28=-40;60;SI(G28-H28=41;59;SI(G28-H28=-41;59;SI(G28-H28=42;58;SI(G28-H28=-42;58;SI(G28-H28=43;57;SI(G28-H28=-43;57;SI(G28-H28=44;56;SI(G28-H28=-44;56;SI(G28-H28=45;55;SI(G28-H28=-45;55;SI(G28-H28=46;54;SI(G28-H28=-46;54;SI(G28-H28=47;53;SI(G28-H28=-47;53;SI(G28-H28=48;52;SI(G28-H28=-48;52;SI(G28-H28=49;51;SI(G28-H28=-49;51;SI(G28-H28=50;50;SI(G28-H28=-50;50;SI(G28-H28=51;49;SI(G28-H28=-51;49;SI(G28-H28=52;48;SI(G28-H28=-52;48;SI(G28-H28=53;47;SI(G28-H28=-53;47;SI(G28-H28=54;46;SI(G28-H28=-54;46;SI(G28-H28=55;45;SI(G28-H28=-55;45;SI(G28-H28=56;44;SI(G28-H28=-56;44;SI(G28-H28=57;43;SI(G28-H28=-57;43;SI(G28-H28=58;42;SI(G28-H28=-58;42;SI(G28-H28=59;41;SI(G28-H28=-59;41;SI(G28-H28=60;40;SI(G28-H28=-60;40;SI(G28-H28=61;39;SI(G28-H28=-61;39;SI(G28-H28=62;38;SI(G28-H28=-62;38;SI(G28-H28=63;37;SI(G28-H28=-63;37;SI(G28-H28=64;36;SI(G28-H28=-64;36;SI(G28-H28=65;35;SI(G28-H28=-65;35;SI(G28-H28=66;34;SI(G28-H28=-66;34;SI(G28-H28=67;33;SI(G28-H28=-67;33;SI(G28-H28=68;32;SI(G28-H28=-68;32;SI(G28-H28=69;31;SI(G28-H28=-69;31;SI(G28-H28=70;30;SI(G28-H28=-70;30;SI(G28-H28=71;29;SI(G28-H28=-71;29;SI(G28-H28=72;28;SI(G28-H28=-72;28;SI(G28-H28=73;27;SI(G28-H28=-73;27;SI(G28-H28=74;26;SI(G28-H28=-74;26;SI(G28-H28=75;25;SI(G28-H28=-75;25;SI(G28-H28=76;24;SI(G28-H28=-76;24;SI(G28-H28=77;23;SI(G28-H28=-77;23;SI(G28-H28=78;22;SI(G28-H28=-78;22;SI(G28-H28=79;21;SI(G28-H28=-79;21;SI(G28-H28=80;20;SI(G28-H28=-80;20;SI(G28-H28=81;19;SI(G28-H28=-81;19;SI(G28-H28=82;18;SI(G28-H28=-82;18;SI(G28-H28=83;17;SI(G28-H28=-83;17;SI(G28-H28=84;16;SI(G28-H28=-84;16;SI(G28-H28=85;15;SI(G28-H28=-85;15;SI(G28-H28=86;14;SI(G28-H28=-86;14;SI(G28-H28=87;13;SI(G28-H28=-87;13;SI(G28-H28=88;12;SI(G28-H28=-88;12;SI(G28-H28=89;11;SI(G28-H28=-89;11;SI(G28-H28=90;10;SI(G28-H28=-90;10;SI(G28-H28=91;9;SI(G28-H28=-91;9;SI(G28-H28=92;8;SI(G28-H28=-92;8;SI(G28-H28=93;7;SI(G28-H28=-93;7;SI(G28-H28=94;6;SI(G28-H28=-94;6;SI(G28-H28=95;5;SI(G28-H28=-95;5;SI(G28-H28=96;4;SI(G28-H28=-96;4;SI(G28-H28=97;3;SI(G28-H28=-97;3;SI(G28-H28=98;2;SI(G28-H28=-98;2;SI(G28-H28=99;1;SI(G28-H28=-99;1;SI(G28-H28=100;0;SI(G28-H28=-100;0;""</t>
  </si>
  <si>
    <t>CRITERIO DE DESEMPATE DIFERENCIA DE GOLES</t>
  </si>
  <si>
    <t>V</t>
  </si>
  <si>
    <t>E</t>
  </si>
  <si>
    <t>PORTUGAL</t>
  </si>
  <si>
    <t>ESPAÑA</t>
  </si>
  <si>
    <t>FRANCIA</t>
  </si>
  <si>
    <t>CROACIA</t>
  </si>
  <si>
    <t>F</t>
  </si>
  <si>
    <t>SUIZA</t>
  </si>
  <si>
    <t>ALEMANIA</t>
  </si>
  <si>
    <t>INGLATERRA</t>
  </si>
  <si>
    <t>FINAL</t>
  </si>
  <si>
    <t>AUSTRIA</t>
  </si>
  <si>
    <t>ESCOCIA</t>
  </si>
  <si>
    <t>CLASIFICACIÓN GENERAL
AVANZA LA MITAD DE PARTICIPANTES MAS UNO</t>
  </si>
  <si>
    <t>BELGICA</t>
  </si>
  <si>
    <t>TURQUIA</t>
  </si>
  <si>
    <t>REP. CHECA</t>
  </si>
  <si>
    <t>MEXICO</t>
  </si>
  <si>
    <t>COREA DEL SUR</t>
  </si>
  <si>
    <t>SUDAFRICA</t>
  </si>
  <si>
    <t>CANADA</t>
  </si>
  <si>
    <t>CATAR</t>
  </si>
  <si>
    <t>BOSNIA</t>
  </si>
  <si>
    <t>BRASIL</t>
  </si>
  <si>
    <t>HAITI</t>
  </si>
  <si>
    <t>MARRUECOS</t>
  </si>
  <si>
    <t>ESTADOS UNIDOS</t>
  </si>
  <si>
    <t>AUSTRALIA</t>
  </si>
  <si>
    <t>PARAGUAY</t>
  </si>
  <si>
    <t>PARAGUAR</t>
  </si>
  <si>
    <t>COSTA DE MARFIL</t>
  </si>
  <si>
    <t>ECUADOR</t>
  </si>
  <si>
    <t>CURAZAO</t>
  </si>
  <si>
    <t>G</t>
  </si>
  <si>
    <t>H</t>
  </si>
  <si>
    <t>I</t>
  </si>
  <si>
    <t>J</t>
  </si>
  <si>
    <t>K</t>
  </si>
  <si>
    <t>PAISES BAJOS</t>
  </si>
  <si>
    <t>SUECIA</t>
  </si>
  <si>
    <t>TUNEZ</t>
  </si>
  <si>
    <t>JAPON</t>
  </si>
  <si>
    <t>IRAN</t>
  </si>
  <si>
    <t>NUEVA ZELANDA</t>
  </si>
  <si>
    <t>EGIPTO</t>
  </si>
  <si>
    <t>ARABIA SAUDITA</t>
  </si>
  <si>
    <t>URUGUAY</t>
  </si>
  <si>
    <t>CABO VERDE</t>
  </si>
  <si>
    <t>IRAK</t>
  </si>
  <si>
    <t>NORUEGA</t>
  </si>
  <si>
    <t>SENEGAL</t>
  </si>
  <si>
    <t>ARGENTINA</t>
  </si>
  <si>
    <t>JORDANIA</t>
  </si>
  <si>
    <t>ARGELIA</t>
  </si>
  <si>
    <t>UZBEKISTAN</t>
  </si>
  <si>
    <t>COLOMBIA</t>
  </si>
  <si>
    <t>REP. CONGO</t>
  </si>
  <si>
    <t>GHANA</t>
  </si>
  <si>
    <t>PANAMA</t>
  </si>
  <si>
    <t>FECHA</t>
  </si>
  <si>
    <t>GOLES
L     -    V</t>
  </si>
  <si>
    <t>COSTO ENTRADA
$500.00 PESOS
POR PERSONA</t>
  </si>
  <si>
    <t>Llave Superior</t>
  </si>
  <si>
    <t>Llave Inferior</t>
  </si>
  <si>
    <t>SEDE</t>
  </si>
  <si>
    <t>BOSTON</t>
  </si>
  <si>
    <t>NUEVA YORK</t>
  </si>
  <si>
    <t>LOS ANGELES</t>
  </si>
  <si>
    <t>MONTERREY</t>
  </si>
  <si>
    <t>TORONTO</t>
  </si>
  <si>
    <t>SAN FRANCISCO</t>
  </si>
  <si>
    <t>SEATTLE</t>
  </si>
  <si>
    <t>HOUSTON</t>
  </si>
  <si>
    <t>DALLAS</t>
  </si>
  <si>
    <t>CIUDAD DE MEXICO</t>
  </si>
  <si>
    <t>ATLANTA</t>
  </si>
  <si>
    <t>MIAMI</t>
  </si>
  <si>
    <t>VANCOUVER</t>
  </si>
  <si>
    <t>KANSAS CITY</t>
  </si>
  <si>
    <t>FILADELFIA</t>
  </si>
  <si>
    <t>1E</t>
  </si>
  <si>
    <t>3A / B / C / D / F</t>
  </si>
  <si>
    <t>1I</t>
  </si>
  <si>
    <t>3C / D / F / G / H</t>
  </si>
  <si>
    <t>2A</t>
  </si>
  <si>
    <t>2B</t>
  </si>
  <si>
    <t>1F</t>
  </si>
  <si>
    <t>2C</t>
  </si>
  <si>
    <t>2K</t>
  </si>
  <si>
    <t>2L</t>
  </si>
  <si>
    <t>1H</t>
  </si>
  <si>
    <t>2J</t>
  </si>
  <si>
    <t>1D</t>
  </si>
  <si>
    <t>3B / E / F / I / J</t>
  </si>
  <si>
    <t>1G</t>
  </si>
  <si>
    <t>3A / E / H / I / J</t>
  </si>
  <si>
    <t>1C</t>
  </si>
  <si>
    <t>2F</t>
  </si>
  <si>
    <t>2E</t>
  </si>
  <si>
    <t>2I</t>
  </si>
  <si>
    <t>1A</t>
  </si>
  <si>
    <t>3C / E / F / H / I</t>
  </si>
  <si>
    <t>1L</t>
  </si>
  <si>
    <t>3E / H / I / J / K</t>
  </si>
  <si>
    <t>1J</t>
  </si>
  <si>
    <t>2H</t>
  </si>
  <si>
    <t>2D</t>
  </si>
  <si>
    <t>2G</t>
  </si>
  <si>
    <t>1B</t>
  </si>
  <si>
    <t>3E / F / G / I / J</t>
  </si>
  <si>
    <t>1K</t>
  </si>
  <si>
    <t>3D / E / I / / J / L</t>
  </si>
  <si>
    <t>SEMIFINALES</t>
  </si>
  <si>
    <t>3ER LUGAR</t>
  </si>
  <si>
    <t>Luis Fernando</t>
  </si>
  <si>
    <t>Alex Spartan</t>
  </si>
  <si>
    <t>MIKE FLOWERS</t>
  </si>
  <si>
    <t>Emanuel Villafuerte</t>
  </si>
  <si>
    <t>Manuel Guillén</t>
  </si>
  <si>
    <t>Silvia</t>
  </si>
  <si>
    <t>HORA</t>
  </si>
  <si>
    <t>13;00</t>
  </si>
  <si>
    <t>GUADALAJARA</t>
  </si>
  <si>
    <t>Mario  Valdés</t>
  </si>
  <si>
    <t>MYRIAM LUGO</t>
  </si>
  <si>
    <t>Raúl Santillán</t>
  </si>
  <si>
    <t>Lalo Flores</t>
  </si>
  <si>
    <t>LUIS SALVADOR</t>
  </si>
  <si>
    <t>Karina Acosta</t>
  </si>
  <si>
    <t>FUERZA RAYOS</t>
  </si>
  <si>
    <t>JOANNA LARA</t>
  </si>
  <si>
    <t>JULIO DURAN</t>
  </si>
  <si>
    <t>Alex Valdés</t>
  </si>
  <si>
    <t>PP CAMPOS</t>
  </si>
  <si>
    <t>Pablo Simental</t>
  </si>
  <si>
    <t>Carlos Valenzuela</t>
  </si>
  <si>
    <t>FELIPE ELIOZA</t>
  </si>
  <si>
    <t>GUSTAVITO</t>
  </si>
  <si>
    <t>Luis Medina Sanchez</t>
  </si>
  <si>
    <t>NISH G</t>
  </si>
  <si>
    <t>JUAN DE SAN. RODRIGUEZ</t>
  </si>
  <si>
    <t>JUAN DE SAN. VAZQUEZ</t>
  </si>
  <si>
    <t>Juan Pinto</t>
  </si>
  <si>
    <t>Geovanni Pinto</t>
  </si>
  <si>
    <t>SUMA(Y(G8="",H8="",J9=0)+Y(G10="",H10="",J11=0))</t>
  </si>
  <si>
    <t>="",$H$</t>
  </si>
  <si>
    <t>SUMA(Y($G$</t>
  </si>
  <si>
    <t>="",J</t>
  </si>
  <si>
    <t>=0)+</t>
  </si>
  <si>
    <t>Y($G$</t>
  </si>
  <si>
    <t>SUMA(Y($G$8="",$H$8="",J9=0)+Y($G$10="",$H$10="",J11=0)+Y($G$12="",$H$12="",J13=0)+Y($G$14="",$H$14="",J15=0)+Y($G$16="",$H$16="",J17=0)+Y($G$18="",$H$18="",J19=0)+Y($G$20="",$H$20="",J21=0)+Y($G$22="",$H$22="",J23=0)+Y($G$24="",$H$24="",J25=0)+Y($G$26="",$H$26="",J27=0)+Y($G$28="",$H$28="",J29=0)+Y($G$30="",$H$30="",J31=0)+Y($G$32="",$H$32="",J33=0)+Y($G$34="",$H$34="",J35=0)+Y($G$36="",$H$36="",J37=0)+Y($G$38="",$H$38="",J39=0)+Y($G$40="",$H$40="",J41=0)+Y($G$42="",$H$42="",J43=0)+Y($G$44="",$H$44="",J45=0)+Y($G$46="",$H$46="",J47=0)+Y($G$48="",$H$48="",J49=0)+Y($G$50="",$H$50="",J51=0)+Y($G$52="",$H$52="",J53=0)+Y($G$54="",$H$54="",J55=0)+Y($G$56="",$H$56="",J57=0)+Y($G$58="",$H$58="",J59=0)+Y($G$60="",$H$60="",J61=0)+Y($G$62="",$H$62="",J63=0)+Y($G$64="",$H$64="",J65=0)+Y($G$66="",$H$66="",J67=0)+Y($G$68="",$H$68="",J69=0)+Y($G$70="",$H$70="",J71=0)+Y($G$72="",$H$72="",J73=0)+Y($G$74="",$H$74="",J75=0)+Y($G$76="",$H$76="",J77=0)+Y($G$78="",$H$78="",J79=0))</t>
  </si>
  <si>
    <t>SUMA(Y($G$80="",$H$80="",J81=0)+Y($G$82="",$H$82="",J83=0)+Y($G$84="",$H$84="",J85=0)+Y($G$86="",$H$86="",J87=0)+Y($G$88="",$H$88="",J89=0)+Y($G$90="",$H$90="",J91=0)+Y($G$92="",$H$92="",J93=0)+Y($G$94="",$H$94="",J95=0)+Y($G$96="",$H$96="",J97=0)+Y($G$98="",$H$98="",J99=0)+Y($G$100="",$H$100="",J101=0)+Y($G$102="",$H$102="",J103=0)+Y($G$104="",$H$104="",J105=0)+Y($G$106="",$H$106="",J107=0)+Y($G$108="",$H$108="",J109=0)+Y($G$110="",$H$110="",J111=0)+Y($G$112="",$H$112="",J113=0)+Y($G$114="",$H$114="",J115=0)+Y($G$116="",$H$116="",J117=0)+Y($G$118="",$H$118="",J119=0)+Y($G$120="",$H$120="",J121=0)+Y($G$122="",$H$122="",J123=0)+Y($G$124="",$H$124="",J125=0)+Y($G$126="",$H$126="",J127=0)+Y($G$128="",$H$128="",J129=0)+Y($G$130="",$H$130="",J131=0)+Y($G$132="",$H$132="",J133=0)+Y($G$134="",$H$134="",J135=0)+Y($G$136="",$H$136="",J137=0)+Y($G$138="",$H$138="",J139=0)+Y($G$140="",$H$140="",J141=0)+Y($G$142="",$H$142="",J143=0)+Y($G$144="",$H$144="",J145=0)+Y($G$146="",$H$146="",J147=0)+Y($G$148="",$H$148="",J149=0)+Y($G$150="",$H$150="",J151=0))</t>
  </si>
  <si>
    <t>REYNA TELLEZ</t>
  </si>
  <si>
    <t>Jorge A. Blass</t>
  </si>
  <si>
    <t>LIMON</t>
  </si>
  <si>
    <t>Mario Alberto Pérez</t>
  </si>
  <si>
    <t>EDER R. GARCIA COVARRUBIAS</t>
  </si>
  <si>
    <t>Jesús Lauder</t>
  </si>
  <si>
    <t>Carlos Calderón</t>
  </si>
  <si>
    <t>Pedro Ocio</t>
  </si>
  <si>
    <t>Dany Campos</t>
  </si>
  <si>
    <t>Mario Barona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</si>
</sst>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2" x14ac:knownFonts="1">
    <font>
      <sz val="11"/>
      <color theme="1"/>
      <name val="Calibri"/>
      <family val="2"/>
      <scheme val="minor"/>
    </font>
    <font>
      <b/>
      <sz val="18"/>
      <color theme="1"/>
      <name val="Calibri"/>
      <family val="2"/>
      <scheme val="minor"/>
    </font>
    <font>
      <b/>
      <sz val="12"/>
      <color theme="0"/>
      <name val="Calibri"/>
      <family val="2"/>
      <scheme val="minor"/>
    </font>
    <font>
      <b/>
      <sz val="14"/>
      <color theme="1"/>
      <name val="Calibri"/>
      <family val="2"/>
      <scheme val="minor"/>
    </font>
    <font>
      <b/>
      <sz val="14"/>
      <color theme="0"/>
      <name val="Calibri"/>
      <family val="2"/>
      <scheme val="minor"/>
    </font>
    <font>
      <b/>
      <sz val="11"/>
      <name val="Calibri"/>
      <family val="2"/>
      <scheme val="minor"/>
    </font>
    <font>
      <sz val="11"/>
      <name val="Calibri"/>
      <family val="2"/>
      <scheme val="minor"/>
    </font>
    <font>
      <sz val="9"/>
      <color theme="1"/>
      <name val="Calibri"/>
      <family val="2"/>
      <scheme val="minor"/>
    </font>
    <font>
      <sz val="11"/>
      <color theme="0" tint="-0.14999847407452621"/>
      <name val="Calibri"/>
      <family val="2"/>
      <scheme val="minor"/>
    </font>
    <font>
      <sz val="14"/>
      <color theme="1"/>
      <name val="Calibri"/>
      <family val="2"/>
      <scheme val="minor"/>
    </font>
    <font>
      <sz val="8"/>
      <color theme="0"/>
      <name val="Calibri"/>
      <family val="2"/>
      <scheme val="minor"/>
    </font>
    <font>
      <b/>
      <sz val="14"/>
      <name val="Calibri"/>
      <family val="2"/>
      <scheme val="minor"/>
    </font>
  </fonts>
  <fills count="16">
    <fill>
      <patternFill patternType="none"/>
    </fill>
    <fill>
      <patternFill patternType="gray125"/>
    </fill>
    <fill>
      <patternFill patternType="solid">
        <fgColor theme="8" tint="0.59999389629810485"/>
        <bgColor indexed="64"/>
      </patternFill>
    </fill>
    <fill>
      <patternFill patternType="solid">
        <fgColor rgb="FF002060"/>
        <bgColor indexed="64"/>
      </patternFill>
    </fill>
    <fill>
      <patternFill patternType="solid">
        <fgColor theme="2" tint="-0.249977111117893"/>
        <bgColor indexed="64"/>
      </patternFill>
    </fill>
    <fill>
      <patternFill patternType="solid">
        <fgColor theme="9" tint="-0.499984740745262"/>
        <bgColor indexed="64"/>
      </patternFill>
    </fill>
    <fill>
      <patternFill patternType="solid">
        <fgColor theme="0" tint="-0.34998626667073579"/>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2"/>
        <bgColor indexed="64"/>
      </patternFill>
    </fill>
    <fill>
      <patternFill patternType="solid">
        <fgColor rgb="FF03770E"/>
        <bgColor indexed="64"/>
      </patternFill>
    </fill>
    <fill>
      <patternFill patternType="solid">
        <fgColor theme="1"/>
        <bgColor indexed="64"/>
      </patternFill>
    </fill>
    <fill>
      <patternFill patternType="solid">
        <fgColor rgb="FFFFFF00"/>
        <bgColor indexed="64"/>
      </patternFill>
    </fill>
    <fill>
      <patternFill patternType="solid">
        <fgColor theme="9"/>
        <bgColor indexed="64"/>
      </patternFill>
    </fill>
    <fill>
      <patternFill patternType="solid">
        <fgColor theme="7" tint="0.39997558519241921"/>
        <bgColor indexed="64"/>
      </patternFill>
    </fill>
    <fill>
      <patternFill patternType="solid">
        <fgColor theme="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style="hair">
        <color auto="1"/>
      </left>
      <right style="hair">
        <color auto="1"/>
      </right>
      <top style="hair">
        <color auto="1"/>
      </top>
      <bottom style="hair">
        <color auto="1"/>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ck">
        <color rgb="FF00FF00"/>
      </left>
      <right style="thin">
        <color indexed="64"/>
      </right>
      <top style="thick">
        <color rgb="FF00FF00"/>
      </top>
      <bottom style="thin">
        <color indexed="64"/>
      </bottom>
      <diagonal/>
    </border>
    <border>
      <left/>
      <right style="thin">
        <color indexed="64"/>
      </right>
      <top style="thick">
        <color rgb="FF00FF00"/>
      </top>
      <bottom style="thin">
        <color indexed="64"/>
      </bottom>
      <diagonal/>
    </border>
    <border>
      <left style="thin">
        <color indexed="64"/>
      </left>
      <right style="thin">
        <color indexed="64"/>
      </right>
      <top style="thick">
        <color rgb="FF00FF00"/>
      </top>
      <bottom style="thin">
        <color indexed="64"/>
      </bottom>
      <diagonal/>
    </border>
    <border>
      <left style="thin">
        <color indexed="64"/>
      </left>
      <right/>
      <top style="thick">
        <color rgb="FF00FF00"/>
      </top>
      <bottom style="thin">
        <color indexed="64"/>
      </bottom>
      <diagonal/>
    </border>
    <border>
      <left style="thin">
        <color indexed="64"/>
      </left>
      <right style="thick">
        <color rgb="FF00FF00"/>
      </right>
      <top style="thick">
        <color rgb="FF00FF00"/>
      </top>
      <bottom style="thin">
        <color indexed="64"/>
      </bottom>
      <diagonal/>
    </border>
    <border>
      <left style="thick">
        <color rgb="FF00FF00"/>
      </left>
      <right style="thin">
        <color indexed="64"/>
      </right>
      <top style="thin">
        <color indexed="64"/>
      </top>
      <bottom style="thin">
        <color indexed="64"/>
      </bottom>
      <diagonal/>
    </border>
    <border>
      <left style="thin">
        <color indexed="64"/>
      </left>
      <right style="thick">
        <color rgb="FF00FF00"/>
      </right>
      <top style="thin">
        <color indexed="64"/>
      </top>
      <bottom style="thin">
        <color indexed="64"/>
      </bottom>
      <diagonal/>
    </border>
    <border>
      <left style="thick">
        <color rgb="FF00FF00"/>
      </left>
      <right style="hair">
        <color auto="1"/>
      </right>
      <top/>
      <bottom style="hair">
        <color auto="1"/>
      </bottom>
      <diagonal/>
    </border>
    <border>
      <left style="hair">
        <color auto="1"/>
      </left>
      <right style="thick">
        <color rgb="FF00FF00"/>
      </right>
      <top/>
      <bottom style="hair">
        <color auto="1"/>
      </bottom>
      <diagonal/>
    </border>
    <border>
      <left style="thick">
        <color rgb="FF00FF00"/>
      </left>
      <right style="hair">
        <color auto="1"/>
      </right>
      <top style="hair">
        <color auto="1"/>
      </top>
      <bottom style="hair">
        <color auto="1"/>
      </bottom>
      <diagonal/>
    </border>
    <border>
      <left style="hair">
        <color auto="1"/>
      </left>
      <right style="thick">
        <color rgb="FF00FF00"/>
      </right>
      <top style="hair">
        <color auto="1"/>
      </top>
      <bottom style="hair">
        <color auto="1"/>
      </bottom>
      <diagonal/>
    </border>
    <border>
      <left style="thick">
        <color rgb="FF00FF00"/>
      </left>
      <right style="hair">
        <color auto="1"/>
      </right>
      <top style="hair">
        <color auto="1"/>
      </top>
      <bottom/>
      <diagonal/>
    </border>
    <border>
      <left style="hair">
        <color auto="1"/>
      </left>
      <right style="thick">
        <color rgb="FF00FF00"/>
      </right>
      <top style="hair">
        <color auto="1"/>
      </top>
      <bottom/>
      <diagonal/>
    </border>
    <border>
      <left style="thick">
        <color rgb="FF00FF00"/>
      </left>
      <right style="thin">
        <color indexed="64"/>
      </right>
      <top style="thin">
        <color indexed="64"/>
      </top>
      <bottom style="thick">
        <color rgb="FF00FF00"/>
      </bottom>
      <diagonal/>
    </border>
    <border>
      <left style="thin">
        <color indexed="64"/>
      </left>
      <right style="thin">
        <color indexed="64"/>
      </right>
      <top style="thin">
        <color indexed="64"/>
      </top>
      <bottom style="thick">
        <color rgb="FF00FF00"/>
      </bottom>
      <diagonal/>
    </border>
    <border>
      <left style="thin">
        <color indexed="64"/>
      </left>
      <right style="thick">
        <color rgb="FF00FF00"/>
      </right>
      <top style="thin">
        <color indexed="64"/>
      </top>
      <bottom style="thick">
        <color rgb="FF00FF00"/>
      </bottom>
      <diagonal/>
    </border>
    <border>
      <left/>
      <right style="thick">
        <color rgb="FF00FF00"/>
      </right>
      <top/>
      <bottom style="thin">
        <color indexed="64"/>
      </bottom>
      <diagonal/>
    </border>
    <border>
      <left/>
      <right/>
      <top/>
      <bottom style="thin">
        <color indexed="64"/>
      </bottom>
      <diagonal/>
    </border>
    <border>
      <left style="thick">
        <color rgb="FF00FF00"/>
      </left>
      <right/>
      <top style="thin">
        <color indexed="64"/>
      </top>
      <bottom style="thin">
        <color indexed="64"/>
      </bottom>
      <diagonal/>
    </border>
    <border>
      <left/>
      <right/>
      <top style="thin">
        <color indexed="64"/>
      </top>
      <bottom style="thin">
        <color indexed="64"/>
      </bottom>
      <diagonal/>
    </border>
    <border>
      <left/>
      <right style="thick">
        <color rgb="FF00FF00"/>
      </right>
      <top style="thin">
        <color indexed="64"/>
      </top>
      <bottom style="thin">
        <color indexed="64"/>
      </bottom>
      <diagonal/>
    </border>
    <border>
      <left/>
      <right style="thick">
        <color rgb="FF00FF00"/>
      </right>
      <top style="thin">
        <color indexed="64"/>
      </top>
      <bottom/>
      <diagonal/>
    </border>
    <border>
      <left/>
      <right style="thick">
        <color rgb="FF00FF00"/>
      </right>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s>
  <cellStyleXfs count="1">
    <xf numFmtId="0" fontId="0" fillId="0" borderId="0"/>
  </cellStyleXfs>
  <cellXfs count="165">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pplyProtection="1">
      <alignment horizontal="center" vertical="center"/>
      <protection hidden="1"/>
    </xf>
    <xf numFmtId="0" fontId="0" fillId="4" borderId="0" xfId="0" applyFill="1" applyAlignment="1" applyProtection="1">
      <alignment horizontal="center" vertical="center"/>
      <protection hidden="1"/>
    </xf>
    <xf numFmtId="0" fontId="2" fillId="3" borderId="0" xfId="0" applyFont="1" applyFill="1" applyAlignment="1" applyProtection="1">
      <alignment horizontal="center" vertical="center"/>
      <protection hidden="1"/>
    </xf>
    <xf numFmtId="0" fontId="0" fillId="6" borderId="1" xfId="0" applyFill="1" applyBorder="1" applyAlignment="1" applyProtection="1">
      <alignment horizontal="center" vertical="center"/>
      <protection hidden="1"/>
    </xf>
    <xf numFmtId="0" fontId="8" fillId="0" borderId="7"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9" xfId="0" applyFont="1" applyBorder="1" applyAlignment="1">
      <alignment horizontal="center" vertical="center"/>
    </xf>
    <xf numFmtId="0" fontId="8" fillId="0" borderId="8" xfId="0" applyFont="1" applyBorder="1" applyAlignment="1">
      <alignment horizontal="center" vertical="center"/>
    </xf>
    <xf numFmtId="0" fontId="8" fillId="0" borderId="13" xfId="0" applyFont="1" applyBorder="1" applyAlignment="1">
      <alignment horizontal="center" vertical="center"/>
    </xf>
    <xf numFmtId="0" fontId="0" fillId="0" borderId="10" xfId="0" applyBorder="1" applyAlignment="1" applyProtection="1">
      <alignment horizontal="center" vertical="center"/>
      <protection hidden="1"/>
    </xf>
    <xf numFmtId="0" fontId="0" fillId="0" borderId="14" xfId="0" applyBorder="1" applyAlignment="1" applyProtection="1">
      <alignment horizontal="center" vertical="center"/>
      <protection hidden="1"/>
    </xf>
    <xf numFmtId="0" fontId="5" fillId="0" borderId="1" xfId="0" applyFont="1" applyBorder="1" applyAlignment="1" applyProtection="1">
      <alignment horizontal="center" vertical="center"/>
      <protection hidden="1"/>
    </xf>
    <xf numFmtId="0" fontId="0" fillId="6" borderId="6" xfId="0" applyFill="1" applyBorder="1" applyAlignment="1" applyProtection="1">
      <alignment horizontal="center" vertical="center" wrapText="1"/>
      <protection hidden="1"/>
    </xf>
    <xf numFmtId="0" fontId="0" fillId="8" borderId="15" xfId="0" applyFill="1" applyBorder="1" applyAlignment="1" applyProtection="1">
      <alignment horizontal="center" vertical="center"/>
      <protection hidden="1"/>
    </xf>
    <xf numFmtId="0" fontId="0" fillId="8" borderId="10" xfId="0" applyFill="1" applyBorder="1" applyAlignment="1" applyProtection="1">
      <alignment horizontal="center" vertical="center"/>
      <protection hidden="1"/>
    </xf>
    <xf numFmtId="0" fontId="0" fillId="9" borderId="10" xfId="0" applyFill="1" applyBorder="1" applyAlignment="1" applyProtection="1">
      <alignment horizontal="center" vertical="center"/>
      <protection hidden="1"/>
    </xf>
    <xf numFmtId="0" fontId="0" fillId="6" borderId="21" xfId="0" applyFill="1" applyBorder="1" applyAlignment="1" applyProtection="1">
      <alignment horizontal="center" vertical="center"/>
      <protection hidden="1"/>
    </xf>
    <xf numFmtId="0" fontId="0" fillId="6" borderId="22" xfId="0" applyFill="1" applyBorder="1" applyAlignment="1" applyProtection="1">
      <alignment horizontal="center" vertical="center"/>
      <protection hidden="1"/>
    </xf>
    <xf numFmtId="0" fontId="0" fillId="8" borderId="24" xfId="0" applyFill="1" applyBorder="1" applyAlignment="1" applyProtection="1">
      <alignment horizontal="center" vertical="center"/>
      <protection hidden="1"/>
    </xf>
    <xf numFmtId="0" fontId="0" fillId="8" borderId="25" xfId="0" applyFill="1" applyBorder="1" applyAlignment="1" applyProtection="1">
      <alignment horizontal="center" vertical="center"/>
      <protection hidden="1"/>
    </xf>
    <xf numFmtId="0" fontId="0" fillId="8" borderId="26" xfId="0" applyFill="1" applyBorder="1" applyAlignment="1" applyProtection="1">
      <alignment horizontal="center" vertical="center"/>
      <protection hidden="1"/>
    </xf>
    <xf numFmtId="0" fontId="0" fillId="0" borderId="2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0" fillId="9" borderId="25" xfId="0" applyFill="1" applyBorder="1" applyAlignment="1" applyProtection="1">
      <alignment horizontal="center" vertical="center"/>
      <protection hidden="1"/>
    </xf>
    <xf numFmtId="0" fontId="0" fillId="9" borderId="26" xfId="0" applyFill="1" applyBorder="1" applyAlignment="1" applyProtection="1">
      <alignment horizontal="center" vertical="center"/>
      <protection hidden="1"/>
    </xf>
    <xf numFmtId="0" fontId="0" fillId="0" borderId="28" xfId="0" applyBorder="1" applyAlignment="1" applyProtection="1">
      <alignment horizontal="center" vertical="center"/>
      <protection hidden="1"/>
    </xf>
    <xf numFmtId="0" fontId="5" fillId="0" borderId="22" xfId="0" applyFont="1" applyBorder="1" applyAlignment="1" applyProtection="1">
      <alignment horizontal="center" vertical="center"/>
      <protection hidden="1"/>
    </xf>
    <xf numFmtId="0" fontId="0" fillId="2" borderId="29" xfId="0" applyFill="1" applyBorder="1" applyAlignment="1" applyProtection="1">
      <alignment horizontal="center" vertical="center"/>
      <protection hidden="1"/>
    </xf>
    <xf numFmtId="0" fontId="0" fillId="2" borderId="30" xfId="0" applyFill="1" applyBorder="1" applyAlignment="1" applyProtection="1">
      <alignment horizontal="center" vertical="center"/>
      <protection hidden="1"/>
    </xf>
    <xf numFmtId="0" fontId="0" fillId="2" borderId="31" xfId="0" applyFill="1" applyBorder="1" applyAlignment="1" applyProtection="1">
      <alignment horizontal="center" vertical="center"/>
      <protection hidden="1"/>
    </xf>
    <xf numFmtId="0" fontId="4" fillId="10" borderId="0" xfId="0" applyFont="1" applyFill="1" applyAlignment="1" applyProtection="1">
      <alignment horizontal="center" vertical="center"/>
      <protection hidden="1"/>
    </xf>
    <xf numFmtId="0" fontId="10" fillId="10" borderId="17" xfId="0" applyFont="1" applyFill="1" applyBorder="1" applyAlignment="1" applyProtection="1">
      <alignment horizontal="center" vertical="center" textRotation="255" wrapText="1"/>
      <protection hidden="1"/>
    </xf>
    <xf numFmtId="0" fontId="10" fillId="10" borderId="18" xfId="0" applyFont="1" applyFill="1" applyBorder="1" applyAlignment="1" applyProtection="1">
      <alignment horizontal="center" vertical="center" textRotation="255" wrapText="1"/>
      <protection hidden="1"/>
    </xf>
    <xf numFmtId="0" fontId="4" fillId="7" borderId="0" xfId="0" applyFont="1" applyFill="1" applyAlignment="1" applyProtection="1">
      <alignment horizontal="center" vertical="center"/>
      <protection hidden="1"/>
    </xf>
    <xf numFmtId="0" fontId="10" fillId="7" borderId="18" xfId="0" applyFont="1" applyFill="1" applyBorder="1" applyAlignment="1" applyProtection="1">
      <alignment horizontal="center" vertical="center" textRotation="255" wrapText="1"/>
      <protection hidden="1"/>
    </xf>
    <xf numFmtId="0" fontId="10" fillId="7" borderId="20" xfId="0" applyFont="1" applyFill="1" applyBorder="1" applyAlignment="1" applyProtection="1">
      <alignment horizontal="center" vertical="center" textRotation="255" wrapText="1"/>
      <protection hidden="1"/>
    </xf>
    <xf numFmtId="0" fontId="0" fillId="8" borderId="33" xfId="0" applyFill="1" applyBorder="1" applyAlignment="1" applyProtection="1">
      <alignment horizontal="center" vertical="center"/>
      <protection hidden="1"/>
    </xf>
    <xf numFmtId="0" fontId="6" fillId="8" borderId="33" xfId="0" applyFont="1" applyFill="1" applyBorder="1" applyAlignment="1" applyProtection="1">
      <alignment horizontal="center" vertical="center" wrapText="1"/>
      <protection hidden="1"/>
    </xf>
    <xf numFmtId="0" fontId="10" fillId="7" borderId="17" xfId="0" applyFont="1" applyFill="1" applyBorder="1" applyAlignment="1" applyProtection="1">
      <alignment horizontal="center" vertical="center" textRotation="255" wrapText="1"/>
      <protection hidden="1"/>
    </xf>
    <xf numFmtId="0" fontId="3" fillId="12" borderId="0" xfId="0" applyFont="1" applyFill="1" applyAlignment="1">
      <alignment horizontal="center" vertical="center"/>
    </xf>
    <xf numFmtId="0" fontId="3" fillId="12" borderId="0" xfId="0" applyFont="1" applyFill="1" applyAlignment="1" applyProtection="1">
      <alignment horizontal="center" vertical="center"/>
      <protection hidden="1"/>
    </xf>
    <xf numFmtId="0" fontId="10" fillId="10" borderId="16" xfId="0" applyFont="1" applyFill="1" applyBorder="1" applyAlignment="1" applyProtection="1">
      <alignment horizontal="center" vertical="center" textRotation="255" wrapText="1"/>
      <protection hidden="1"/>
    </xf>
    <xf numFmtId="0" fontId="0" fillId="8" borderId="23" xfId="0" applyFill="1" applyBorder="1" applyAlignment="1" applyProtection="1">
      <alignment horizontal="center" vertical="center"/>
      <protection hidden="1"/>
    </xf>
    <xf numFmtId="0" fontId="8" fillId="0" borderId="7" xfId="0" applyFont="1" applyBorder="1" applyAlignment="1" applyProtection="1">
      <alignment horizontal="center" vertical="center"/>
      <protection hidden="1"/>
    </xf>
    <xf numFmtId="0" fontId="8" fillId="0" borderId="11" xfId="0" applyFont="1" applyBorder="1" applyAlignment="1" applyProtection="1">
      <alignment horizontal="center" vertical="center"/>
      <protection hidden="1"/>
    </xf>
    <xf numFmtId="0" fontId="8" fillId="0" borderId="12" xfId="0" applyFont="1" applyBorder="1" applyAlignment="1" applyProtection="1">
      <alignment horizontal="center" vertical="center"/>
      <protection hidden="1"/>
    </xf>
    <xf numFmtId="0" fontId="8" fillId="0" borderId="9" xfId="0" applyFont="1" applyBorder="1" applyAlignment="1" applyProtection="1">
      <alignment horizontal="center" vertical="center"/>
      <protection hidden="1"/>
    </xf>
    <xf numFmtId="0" fontId="5" fillId="0" borderId="21" xfId="0" applyFont="1" applyBorder="1" applyAlignment="1" applyProtection="1">
      <alignment horizontal="center" vertical="center"/>
      <protection hidden="1"/>
    </xf>
    <xf numFmtId="0" fontId="10" fillId="14" borderId="18" xfId="0" applyFont="1" applyFill="1" applyBorder="1" applyAlignment="1" applyProtection="1">
      <alignment horizontal="center" vertical="center" textRotation="255" wrapText="1"/>
      <protection hidden="1"/>
    </xf>
    <xf numFmtId="0" fontId="10" fillId="10" borderId="19" xfId="0" applyFont="1" applyFill="1" applyBorder="1" applyAlignment="1" applyProtection="1">
      <alignment horizontal="center" vertical="center" textRotation="255" wrapText="1"/>
      <protection hidden="1"/>
    </xf>
    <xf numFmtId="0" fontId="9" fillId="8" borderId="33" xfId="0" applyFont="1" applyFill="1" applyBorder="1" applyAlignment="1" applyProtection="1">
      <alignment horizontal="center" vertical="center"/>
      <protection hidden="1"/>
    </xf>
    <xf numFmtId="0" fontId="11" fillId="8" borderId="33" xfId="0" applyFont="1" applyFill="1" applyBorder="1" applyAlignment="1" applyProtection="1">
      <alignment horizontal="center" vertical="center" wrapText="1"/>
      <protection hidden="1"/>
    </xf>
    <xf numFmtId="0" fontId="9" fillId="0" borderId="0" xfId="0" applyFont="1" applyAlignment="1">
      <alignment horizontal="center" vertical="center"/>
    </xf>
    <xf numFmtId="0" fontId="9" fillId="0" borderId="0" xfId="0" applyFont="1" applyAlignment="1" applyProtection="1">
      <alignment horizontal="center" vertical="center"/>
      <protection hidden="1"/>
    </xf>
    <xf numFmtId="0" fontId="10" fillId="14" borderId="19" xfId="0" applyFont="1" applyFill="1" applyBorder="1" applyAlignment="1" applyProtection="1">
      <alignment horizontal="center" vertical="center" textRotation="255" wrapText="1"/>
      <protection hidden="1"/>
    </xf>
    <xf numFmtId="0" fontId="0" fillId="6" borderId="3" xfId="0" applyFill="1" applyBorder="1" applyAlignment="1" applyProtection="1">
      <alignment horizontal="center" vertical="center"/>
      <protection hidden="1"/>
    </xf>
    <xf numFmtId="0" fontId="0" fillId="6" borderId="7" xfId="0" applyFill="1" applyBorder="1" applyAlignment="1" applyProtection="1">
      <alignment horizontal="center" vertical="center" wrapText="1"/>
      <protection hidden="1"/>
    </xf>
    <xf numFmtId="0" fontId="0" fillId="15" borderId="0" xfId="0" applyFill="1" applyAlignment="1" applyProtection="1">
      <alignment horizontal="center" vertical="center"/>
      <protection hidden="1"/>
    </xf>
    <xf numFmtId="0" fontId="0" fillId="15" borderId="0" xfId="0" applyFill="1" applyAlignment="1">
      <alignment horizontal="center" vertical="center" wrapText="1"/>
    </xf>
    <xf numFmtId="0" fontId="0" fillId="15" borderId="0" xfId="0" applyFill="1" applyAlignment="1" applyProtection="1">
      <alignment horizontal="center" vertical="center" wrapText="1"/>
      <protection hidden="1"/>
    </xf>
    <xf numFmtId="0" fontId="0" fillId="15" borderId="33" xfId="0" applyFill="1" applyBorder="1" applyAlignment="1" applyProtection="1">
      <alignment horizontal="center" vertical="center"/>
      <protection hidden="1"/>
    </xf>
    <xf numFmtId="0" fontId="0" fillId="15" borderId="33" xfId="0" applyFill="1" applyBorder="1" applyAlignment="1">
      <alignment horizontal="center" vertical="center" wrapText="1"/>
    </xf>
    <xf numFmtId="0" fontId="0" fillId="15" borderId="33" xfId="0" applyFill="1" applyBorder="1" applyAlignment="1" applyProtection="1">
      <alignment horizontal="center" vertical="center" wrapText="1"/>
      <protection hidden="1"/>
    </xf>
    <xf numFmtId="0" fontId="0" fillId="6" borderId="34" xfId="0" applyFill="1" applyBorder="1" applyAlignment="1" applyProtection="1">
      <alignment horizontal="center" vertical="center"/>
      <protection hidden="1"/>
    </xf>
    <xf numFmtId="0" fontId="0" fillId="6" borderId="35" xfId="0" applyFill="1" applyBorder="1" applyAlignment="1" applyProtection="1">
      <alignment horizontal="center" vertical="center"/>
      <protection hidden="1"/>
    </xf>
    <xf numFmtId="0" fontId="0" fillId="6" borderId="36" xfId="0" applyFill="1" applyBorder="1" applyAlignment="1" applyProtection="1">
      <alignment horizontal="center" vertical="center"/>
      <protection hidden="1"/>
    </xf>
    <xf numFmtId="49" fontId="0" fillId="0" borderId="0" xfId="0" applyNumberFormat="1"/>
    <xf numFmtId="0" fontId="0" fillId="14" borderId="0" xfId="0" applyFill="1"/>
    <xf numFmtId="0" fontId="0" fillId="6" borderId="7" xfId="0" applyFill="1" applyBorder="1" applyAlignment="1" applyProtection="1">
      <alignment horizontal="center" vertical="center"/>
      <protection hidden="1"/>
    </xf>
    <xf numFmtId="0" fontId="0" fillId="6" borderId="2" xfId="0" applyFill="1" applyBorder="1" applyAlignment="1" applyProtection="1">
      <alignment horizontal="center" vertical="center"/>
      <protection hidden="1"/>
    </xf>
    <xf numFmtId="0" fontId="0" fillId="6" borderId="12" xfId="0" applyFill="1" applyBorder="1" applyAlignment="1" applyProtection="1">
      <alignment horizontal="center" vertical="center"/>
      <protection hidden="1"/>
    </xf>
    <xf numFmtId="0" fontId="0" fillId="6" borderId="0" xfId="0" applyFill="1" applyAlignment="1" applyProtection="1">
      <alignment horizontal="center" vertical="center"/>
      <protection hidden="1"/>
    </xf>
    <xf numFmtId="0" fontId="0" fillId="6" borderId="8" xfId="0" applyFill="1" applyBorder="1" applyAlignment="1" applyProtection="1">
      <alignment horizontal="center" vertical="center"/>
      <protection hidden="1"/>
    </xf>
    <xf numFmtId="0" fontId="0" fillId="6" borderId="33" xfId="0" applyFill="1" applyBorder="1" applyAlignment="1" applyProtection="1">
      <alignment horizontal="center" vertical="center"/>
      <protection hidden="1"/>
    </xf>
    <xf numFmtId="0" fontId="0" fillId="6" borderId="37" xfId="0" applyFill="1" applyBorder="1" applyAlignment="1" applyProtection="1">
      <alignment horizontal="center" vertical="center"/>
      <protection hidden="1"/>
    </xf>
    <xf numFmtId="0" fontId="0" fillId="6" borderId="38" xfId="0" applyFill="1" applyBorder="1" applyAlignment="1" applyProtection="1">
      <alignment horizontal="center" vertical="center"/>
      <protection hidden="1"/>
    </xf>
    <xf numFmtId="0" fontId="0" fillId="6" borderId="32" xfId="0" applyFill="1" applyBorder="1" applyAlignment="1" applyProtection="1">
      <alignment horizontal="center" vertical="center"/>
      <protection hidden="1"/>
    </xf>
    <xf numFmtId="0" fontId="0" fillId="13" borderId="3" xfId="0" applyFill="1" applyBorder="1" applyAlignment="1" applyProtection="1">
      <alignment horizontal="center" vertical="center"/>
      <protection hidden="1"/>
    </xf>
    <xf numFmtId="0" fontId="0" fillId="9" borderId="40" xfId="0" applyFill="1" applyBorder="1" applyAlignment="1" applyProtection="1">
      <alignment horizontal="center" vertical="center"/>
      <protection hidden="1"/>
    </xf>
    <xf numFmtId="0" fontId="0" fillId="9" borderId="14" xfId="0" applyFill="1" applyBorder="1" applyAlignment="1" applyProtection="1">
      <alignment horizontal="center" vertical="center"/>
      <protection hidden="1"/>
    </xf>
    <xf numFmtId="0" fontId="0" fillId="0" borderId="15" xfId="0" applyBorder="1" applyAlignment="1" applyProtection="1">
      <alignment horizontal="center" vertical="center"/>
      <protection hidden="1"/>
    </xf>
    <xf numFmtId="0" fontId="0" fillId="9" borderId="1" xfId="0" applyFill="1" applyBorder="1" applyAlignment="1" applyProtection="1">
      <alignment horizontal="center" vertical="center"/>
      <protection hidden="1"/>
    </xf>
    <xf numFmtId="0" fontId="0" fillId="8" borderId="15" xfId="0"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hidden="1"/>
    </xf>
    <xf numFmtId="0" fontId="0" fillId="0" borderId="10" xfId="0" applyBorder="1" applyAlignment="1" applyProtection="1">
      <alignment horizontal="center" vertical="center"/>
      <protection locked="0"/>
    </xf>
    <xf numFmtId="0" fontId="0" fillId="0" borderId="10" xfId="0" applyBorder="1" applyAlignment="1" applyProtection="1">
      <alignment horizontal="center" vertical="center"/>
      <protection locked="0" hidden="1"/>
    </xf>
    <xf numFmtId="0" fontId="0" fillId="8" borderId="10" xfId="0" applyFill="1" applyBorder="1" applyAlignment="1" applyProtection="1">
      <alignment horizontal="center" vertical="center"/>
      <protection locked="0"/>
    </xf>
    <xf numFmtId="0" fontId="0" fillId="9" borderId="10" xfId="0" applyFill="1" applyBorder="1" applyAlignment="1" applyProtection="1">
      <alignment horizontal="center" vertical="center"/>
      <protection locked="0" hidden="1"/>
    </xf>
    <xf numFmtId="0" fontId="0" fillId="0" borderId="27" xfId="0" applyBorder="1" applyAlignment="1" applyProtection="1">
      <alignment horizontal="center" vertical="center"/>
      <protection hidden="1"/>
    </xf>
    <xf numFmtId="0" fontId="0" fillId="0" borderId="14" xfId="0" applyBorder="1" applyAlignment="1" applyProtection="1">
      <alignment horizontal="center" vertical="center"/>
      <protection locked="0" hidden="1"/>
    </xf>
    <xf numFmtId="0" fontId="5" fillId="0" borderId="1" xfId="0" applyFont="1" applyBorder="1" applyAlignment="1">
      <alignment horizontal="center" vertical="center"/>
    </xf>
    <xf numFmtId="0" fontId="10" fillId="10" borderId="18" xfId="0" applyFont="1" applyFill="1" applyBorder="1" applyAlignment="1" applyProtection="1">
      <alignment horizontal="center" vertical="center" textRotation="255" wrapText="1"/>
      <protection locked="0"/>
    </xf>
    <xf numFmtId="0" fontId="10" fillId="14" borderId="16" xfId="0" applyFont="1" applyFill="1" applyBorder="1" applyAlignment="1" applyProtection="1">
      <alignment horizontal="center" vertical="center" textRotation="255" wrapText="1"/>
      <protection hidden="1"/>
    </xf>
    <xf numFmtId="20" fontId="0" fillId="8" borderId="3" xfId="0" applyNumberFormat="1" applyFill="1" applyBorder="1" applyAlignment="1" applyProtection="1">
      <alignment horizontal="center" vertical="center"/>
      <protection hidden="1"/>
    </xf>
    <xf numFmtId="0" fontId="0" fillId="8" borderId="4" xfId="0" applyFill="1" applyBorder="1" applyAlignment="1" applyProtection="1">
      <alignment horizontal="center" vertical="center"/>
      <protection hidden="1"/>
    </xf>
    <xf numFmtId="20" fontId="0" fillId="9" borderId="3" xfId="0" applyNumberFormat="1" applyFill="1" applyBorder="1" applyAlignment="1" applyProtection="1">
      <alignment horizontal="center" vertical="center"/>
      <protection hidden="1"/>
    </xf>
    <xf numFmtId="0" fontId="0" fillId="9" borderId="4" xfId="0" applyFill="1" applyBorder="1" applyAlignment="1" applyProtection="1">
      <alignment horizontal="center" vertical="center"/>
      <protection hidden="1"/>
    </xf>
    <xf numFmtId="20" fontId="0" fillId="8" borderId="3" xfId="0" applyNumberFormat="1" applyFill="1" applyBorder="1" applyAlignment="1" applyProtection="1">
      <alignment horizontal="center" vertical="center" wrapText="1"/>
      <protection hidden="1"/>
    </xf>
    <xf numFmtId="0" fontId="0" fillId="8" borderId="4" xfId="0" applyFill="1" applyBorder="1" applyAlignment="1" applyProtection="1">
      <alignment horizontal="center" vertical="center" wrapText="1"/>
      <protection hidden="1"/>
    </xf>
    <xf numFmtId="20" fontId="0" fillId="9" borderId="3" xfId="0" applyNumberFormat="1" applyFill="1" applyBorder="1" applyAlignment="1" applyProtection="1">
      <alignment horizontal="center" vertical="center" wrapText="1"/>
      <protection hidden="1"/>
    </xf>
    <xf numFmtId="0" fontId="0" fillId="9" borderId="4" xfId="0" applyFill="1" applyBorder="1" applyAlignment="1" applyProtection="1">
      <alignment horizontal="center" vertical="center" wrapText="1"/>
      <protection hidden="1"/>
    </xf>
    <xf numFmtId="20" fontId="9" fillId="8" borderId="3" xfId="0" applyNumberFormat="1" applyFont="1" applyFill="1" applyBorder="1" applyAlignment="1" applyProtection="1">
      <alignment horizontal="center" vertical="center"/>
      <protection hidden="1"/>
    </xf>
    <xf numFmtId="0" fontId="9" fillId="8" borderId="4" xfId="0" applyFont="1" applyFill="1" applyBorder="1" applyAlignment="1" applyProtection="1">
      <alignment horizontal="center" vertical="center"/>
      <protection hidden="1"/>
    </xf>
    <xf numFmtId="20" fontId="9" fillId="9" borderId="3" xfId="0" applyNumberFormat="1" applyFont="1" applyFill="1" applyBorder="1" applyAlignment="1" applyProtection="1">
      <alignment horizontal="center" vertical="center"/>
      <protection hidden="1"/>
    </xf>
    <xf numFmtId="0" fontId="9" fillId="9" borderId="4" xfId="0" applyFont="1" applyFill="1" applyBorder="1" applyAlignment="1" applyProtection="1">
      <alignment horizontal="center" vertical="center"/>
      <protection hidden="1"/>
    </xf>
    <xf numFmtId="20" fontId="0" fillId="8" borderId="5" xfId="0" applyNumberFormat="1" applyFill="1" applyBorder="1" applyAlignment="1" applyProtection="1">
      <alignment horizontal="center" vertical="center"/>
      <protection hidden="1"/>
    </xf>
    <xf numFmtId="16" fontId="0" fillId="9" borderId="3" xfId="0" applyNumberFormat="1" applyFill="1" applyBorder="1" applyAlignment="1" applyProtection="1">
      <alignment horizontal="center" vertical="center"/>
      <protection hidden="1"/>
    </xf>
    <xf numFmtId="20" fontId="9" fillId="9" borderId="3" xfId="0" applyNumberFormat="1" applyFont="1" applyFill="1" applyBorder="1" applyAlignment="1" applyProtection="1">
      <alignment horizontal="center" vertical="center" wrapText="1"/>
      <protection hidden="1"/>
    </xf>
    <xf numFmtId="0" fontId="9" fillId="9" borderId="4" xfId="0" applyFont="1" applyFill="1" applyBorder="1" applyAlignment="1" applyProtection="1">
      <alignment horizontal="center" vertical="center" wrapText="1"/>
      <protection hidden="1"/>
    </xf>
    <xf numFmtId="20" fontId="9" fillId="8" borderId="3" xfId="0" applyNumberFormat="1" applyFont="1" applyFill="1" applyBorder="1" applyAlignment="1" applyProtection="1">
      <alignment horizontal="center" vertical="center" wrapText="1"/>
      <protection hidden="1"/>
    </xf>
    <xf numFmtId="0" fontId="9" fillId="8" borderId="4" xfId="0" applyFont="1" applyFill="1" applyBorder="1" applyAlignment="1" applyProtection="1">
      <alignment horizontal="center" vertical="center" wrapText="1"/>
      <protection hidden="1"/>
    </xf>
    <xf numFmtId="20" fontId="9" fillId="8" borderId="5" xfId="0" applyNumberFormat="1" applyFont="1" applyFill="1" applyBorder="1" applyAlignment="1" applyProtection="1">
      <alignment horizontal="center" vertical="center"/>
      <protection hidden="1"/>
    </xf>
    <xf numFmtId="16" fontId="9" fillId="9" borderId="3" xfId="0" applyNumberFormat="1" applyFont="1" applyFill="1" applyBorder="1" applyAlignment="1" applyProtection="1">
      <alignment horizontal="center" vertical="center"/>
      <protection hidden="1"/>
    </xf>
    <xf numFmtId="16" fontId="9" fillId="8" borderId="3" xfId="0" applyNumberFormat="1" applyFont="1" applyFill="1" applyBorder="1" applyAlignment="1" applyProtection="1">
      <alignment horizontal="center" vertical="center"/>
      <protection hidden="1"/>
    </xf>
    <xf numFmtId="16" fontId="9" fillId="8" borderId="5" xfId="0" applyNumberFormat="1" applyFont="1" applyFill="1" applyBorder="1" applyAlignment="1" applyProtection="1">
      <alignment horizontal="center" vertical="center"/>
      <protection hidden="1"/>
    </xf>
    <xf numFmtId="16" fontId="9" fillId="8" borderId="3" xfId="0" applyNumberFormat="1" applyFont="1" applyFill="1" applyBorder="1" applyAlignment="1" applyProtection="1">
      <alignment horizontal="center" vertical="center" wrapText="1"/>
      <protection hidden="1"/>
    </xf>
    <xf numFmtId="0" fontId="1" fillId="8" borderId="3" xfId="0" applyFont="1" applyFill="1" applyBorder="1" applyAlignment="1" applyProtection="1">
      <alignment horizontal="center" vertical="center"/>
      <protection hidden="1"/>
    </xf>
    <xf numFmtId="0" fontId="1" fillId="8" borderId="5" xfId="0" applyFont="1" applyFill="1" applyBorder="1" applyAlignment="1" applyProtection="1">
      <alignment horizontal="center" vertical="center"/>
      <protection hidden="1"/>
    </xf>
    <xf numFmtId="0" fontId="1" fillId="8" borderId="4" xfId="0" applyFont="1" applyFill="1" applyBorder="1" applyAlignment="1" applyProtection="1">
      <alignment horizontal="center" vertical="center"/>
      <protection hidden="1"/>
    </xf>
    <xf numFmtId="0" fontId="0" fillId="9" borderId="7" xfId="0" applyFill="1" applyBorder="1" applyAlignment="1" applyProtection="1">
      <alignment horizontal="center" vertical="center"/>
      <protection hidden="1"/>
    </xf>
    <xf numFmtId="0" fontId="0" fillId="9" borderId="8" xfId="0" applyFill="1" applyBorder="1" applyAlignment="1" applyProtection="1">
      <alignment horizontal="center" vertical="center"/>
      <protection hidden="1"/>
    </xf>
    <xf numFmtId="0" fontId="0" fillId="9" borderId="3" xfId="0" applyFill="1" applyBorder="1" applyAlignment="1" applyProtection="1">
      <alignment horizontal="center" vertical="center"/>
      <protection hidden="1"/>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0" fillId="8" borderId="3" xfId="0" applyFill="1" applyBorder="1" applyAlignment="1">
      <alignment horizontal="center" vertical="center"/>
    </xf>
    <xf numFmtId="0" fontId="0" fillId="8" borderId="4" xfId="0" applyFill="1" applyBorder="1" applyAlignment="1">
      <alignment horizontal="center" vertical="center"/>
    </xf>
    <xf numFmtId="0" fontId="0" fillId="8" borderId="3" xfId="0" applyFill="1" applyBorder="1" applyAlignment="1" applyProtection="1">
      <alignment horizontal="center" vertical="center"/>
      <protection hidden="1"/>
    </xf>
    <xf numFmtId="0" fontId="1" fillId="9" borderId="3" xfId="0" applyFont="1" applyFill="1" applyBorder="1" applyAlignment="1" applyProtection="1">
      <alignment horizontal="center" vertical="center"/>
      <protection hidden="1"/>
    </xf>
    <xf numFmtId="0" fontId="1" fillId="9" borderId="5" xfId="0" applyFont="1" applyFill="1" applyBorder="1" applyAlignment="1" applyProtection="1">
      <alignment horizontal="center" vertical="center"/>
      <protection hidden="1"/>
    </xf>
    <xf numFmtId="0" fontId="1" fillId="9" borderId="4" xfId="0" applyFont="1" applyFill="1" applyBorder="1" applyAlignment="1" applyProtection="1">
      <alignment horizontal="center" vertical="center"/>
      <protection hidden="1"/>
    </xf>
    <xf numFmtId="0" fontId="0" fillId="8" borderId="7" xfId="0" applyFill="1" applyBorder="1" applyAlignment="1" applyProtection="1">
      <alignment horizontal="center" vertical="center"/>
      <protection hidden="1"/>
    </xf>
    <xf numFmtId="0" fontId="0" fillId="8" borderId="8" xfId="0" applyFill="1" applyBorder="1" applyAlignment="1" applyProtection="1">
      <alignment horizontal="center" vertical="center"/>
      <protection hidden="1"/>
    </xf>
    <xf numFmtId="0" fontId="2" fillId="3" borderId="2" xfId="0" applyFont="1" applyFill="1" applyBorder="1" applyAlignment="1">
      <alignment horizontal="center" vertical="center"/>
    </xf>
    <xf numFmtId="0" fontId="2" fillId="5" borderId="0" xfId="0" applyFont="1" applyFill="1" applyAlignment="1" applyProtection="1">
      <alignment horizontal="center" vertical="center" wrapText="1"/>
      <protection hidden="1"/>
    </xf>
    <xf numFmtId="0" fontId="0" fillId="0" borderId="0" xfId="0" applyAlignment="1">
      <alignment horizontal="center" vertical="center"/>
    </xf>
    <xf numFmtId="0" fontId="0" fillId="9" borderId="3" xfId="0" applyFill="1" applyBorder="1" applyAlignment="1" applyProtection="1">
      <alignment horizontal="center" vertical="center" wrapText="1"/>
      <protection hidden="1"/>
    </xf>
    <xf numFmtId="0" fontId="0" fillId="8" borderId="3" xfId="0" applyFill="1" applyBorder="1" applyAlignment="1" applyProtection="1">
      <alignment horizontal="center" vertical="center" wrapText="1"/>
      <protection hidden="1"/>
    </xf>
    <xf numFmtId="16" fontId="9" fillId="9" borderId="3" xfId="0" applyNumberFormat="1" applyFont="1" applyFill="1" applyBorder="1" applyAlignment="1" applyProtection="1">
      <alignment horizontal="center" vertical="center" wrapText="1"/>
      <protection hidden="1"/>
    </xf>
    <xf numFmtId="0" fontId="2" fillId="11" borderId="0" xfId="0" applyFont="1" applyFill="1" applyAlignment="1" applyProtection="1">
      <alignment horizontal="center" vertical="center" wrapText="1"/>
      <protection hidden="1"/>
    </xf>
    <xf numFmtId="6" fontId="6" fillId="8" borderId="33" xfId="0" applyNumberFormat="1" applyFont="1" applyFill="1" applyBorder="1" applyAlignment="1" applyProtection="1">
      <alignment horizontal="center" vertical="center" wrapText="1"/>
      <protection hidden="1"/>
    </xf>
    <xf numFmtId="6" fontId="6" fillId="8" borderId="32" xfId="0" applyNumberFormat="1" applyFont="1" applyFill="1" applyBorder="1" applyAlignment="1" applyProtection="1">
      <alignment horizontal="center" vertical="center" wrapText="1"/>
      <protection hidden="1"/>
    </xf>
    <xf numFmtId="0" fontId="0" fillId="6" borderId="3" xfId="0" applyFill="1" applyBorder="1" applyAlignment="1">
      <alignment horizontal="center" vertical="center" wrapText="1"/>
    </xf>
    <xf numFmtId="0" fontId="0" fillId="8" borderId="5" xfId="0" applyFill="1" applyBorder="1" applyAlignment="1" applyProtection="1">
      <alignment horizontal="center" vertical="center"/>
      <protection hidden="1"/>
    </xf>
    <xf numFmtId="0" fontId="0" fillId="8" borderId="5" xfId="0" applyFill="1" applyBorder="1" applyAlignment="1">
      <alignment horizontal="center" vertical="center"/>
    </xf>
    <xf numFmtId="0" fontId="0" fillId="8" borderId="12" xfId="0" applyFill="1" applyBorder="1" applyAlignment="1" applyProtection="1">
      <alignment horizontal="center" vertical="center"/>
      <protection hidden="1"/>
    </xf>
    <xf numFmtId="0" fontId="7" fillId="8" borderId="3" xfId="0" applyFont="1" applyFill="1" applyBorder="1" applyAlignment="1" applyProtection="1">
      <alignment horizontal="center" vertical="center"/>
      <protection hidden="1"/>
    </xf>
    <xf numFmtId="0" fontId="7" fillId="8" borderId="4" xfId="0" applyFont="1" applyFill="1" applyBorder="1" applyAlignment="1" applyProtection="1">
      <alignment horizontal="center" vertical="center"/>
      <protection hidden="1"/>
    </xf>
    <xf numFmtId="0" fontId="0" fillId="6" borderId="1" xfId="0" applyFill="1" applyBorder="1" applyAlignment="1" applyProtection="1">
      <alignment horizontal="center" vertical="center" wrapText="1"/>
      <protection hidden="1"/>
    </xf>
    <xf numFmtId="0" fontId="7" fillId="9" borderId="3" xfId="0" quotePrefix="1" applyFont="1" applyFill="1" applyBorder="1" applyAlignment="1" applyProtection="1">
      <alignment horizontal="center" vertical="center"/>
      <protection hidden="1"/>
    </xf>
    <xf numFmtId="0" fontId="7" fillId="9" borderId="4" xfId="0" applyFont="1" applyFill="1" applyBorder="1" applyAlignment="1" applyProtection="1">
      <alignment horizontal="center" vertical="center"/>
      <protection hidden="1"/>
    </xf>
    <xf numFmtId="0" fontId="7" fillId="9" borderId="3" xfId="0" applyFont="1" applyFill="1" applyBorder="1" applyAlignment="1" applyProtection="1">
      <alignment horizontal="center" vertical="center"/>
      <protection hidden="1"/>
    </xf>
    <xf numFmtId="0" fontId="7" fillId="8" borderId="3" xfId="0" applyFont="1" applyFill="1" applyBorder="1" applyAlignment="1" applyProtection="1">
      <alignment horizontal="center" vertical="center" wrapText="1"/>
      <protection hidden="1"/>
    </xf>
    <xf numFmtId="0" fontId="7" fillId="8" borderId="4" xfId="0" applyFont="1" applyFill="1" applyBorder="1" applyAlignment="1" applyProtection="1">
      <alignment horizontal="center" vertical="center" wrapText="1"/>
      <protection hidden="1"/>
    </xf>
    <xf numFmtId="0" fontId="7" fillId="9" borderId="3" xfId="0" applyFont="1" applyFill="1" applyBorder="1" applyAlignment="1" applyProtection="1">
      <alignment horizontal="center" vertical="center" wrapText="1"/>
      <protection hidden="1"/>
    </xf>
    <xf numFmtId="0" fontId="7" fillId="9" borderId="4" xfId="0" applyFont="1" applyFill="1" applyBorder="1" applyAlignment="1" applyProtection="1">
      <alignment horizontal="center" vertical="center" wrapText="1"/>
      <protection hidden="1"/>
    </xf>
    <xf numFmtId="0" fontId="2" fillId="3" borderId="2" xfId="0" applyFont="1" applyFill="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8" borderId="1" xfId="0" applyFont="1" applyFill="1" applyBorder="1" applyAlignment="1" applyProtection="1">
      <alignment horizontal="center" vertical="center"/>
      <protection hidden="1"/>
    </xf>
    <xf numFmtId="0" fontId="10" fillId="10" borderId="20" xfId="0" applyFont="1" applyFill="1" applyBorder="1" applyAlignment="1" applyProtection="1">
      <alignment horizontal="center" vertical="center" textRotation="255" wrapText="1"/>
      <protection hidden="1"/>
    </xf>
    <xf numFmtId="0" fontId="0" fillId="6" borderId="0" xfId="0" applyFill="1" applyBorder="1" applyAlignment="1" applyProtection="1">
      <alignment horizontal="center" vertical="center"/>
      <protection hidden="1"/>
    </xf>
    <xf numFmtId="0" fontId="0" fillId="9" borderId="39" xfId="0" applyFill="1" applyBorder="1" applyAlignment="1" applyProtection="1">
      <alignment horizontal="center" vertical="center"/>
      <protection hidden="1"/>
    </xf>
  </cellXfs>
  <cellStyles count="1">
    <cellStyle name="Normal" xfId="0" builtinId="0"/>
  </cellStyles>
  <dxfs count="0"/>
  <tableStyles count="0" defaultTableStyle="TableStyleMedium2" defaultPivotStyle="PivotStyleLight16"/>
  <colors>
    <mruColors>
      <color rgb="FF03770E"/>
      <color rgb="FF00FF00"/>
      <color rgb="FF00FFFF"/>
      <color rgb="FF9FFFFF"/>
      <color rgb="FFFF00FF"/>
      <color rgb="FF0000FF"/>
      <color rgb="FFFF99FF"/>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166687</xdr:colOff>
      <xdr:row>1</xdr:row>
      <xdr:rowOff>47625</xdr:rowOff>
    </xdr:from>
    <xdr:to>
      <xdr:col>3</xdr:col>
      <xdr:colOff>117807</xdr:colOff>
      <xdr:row>1</xdr:row>
      <xdr:rowOff>1619469</xdr:rowOff>
    </xdr:to>
    <xdr:pic>
      <xdr:nvPicPr>
        <xdr:cNvPr id="3" name="Imagen 2">
          <a:extLst>
            <a:ext uri="{FF2B5EF4-FFF2-40B4-BE49-F238E27FC236}">
              <a16:creationId xmlns:a16="http://schemas.microsoft.com/office/drawing/2014/main" id="{AD3B55B2-359A-ACA0-B048-DF94A924A870}"/>
            </a:ext>
          </a:extLst>
        </xdr:cNvPr>
        <xdr:cNvPicPr>
          <a:picLocks noChangeAspect="1"/>
        </xdr:cNvPicPr>
      </xdr:nvPicPr>
      <xdr:blipFill>
        <a:blip xmlns:r="http://schemas.openxmlformats.org/officeDocument/2006/relationships" r:embed="rId1"/>
        <a:stretch>
          <a:fillRect/>
        </a:stretch>
      </xdr:blipFill>
      <xdr:spPr>
        <a:xfrm>
          <a:off x="916781" y="523875"/>
          <a:ext cx="1047896" cy="15718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166687</xdr:colOff>
      <xdr:row>1</xdr:row>
      <xdr:rowOff>47625</xdr:rowOff>
    </xdr:from>
    <xdr:to>
      <xdr:col>2</xdr:col>
      <xdr:colOff>285896</xdr:colOff>
      <xdr:row>1</xdr:row>
      <xdr:rowOff>1619469</xdr:rowOff>
    </xdr:to>
    <xdr:pic>
      <xdr:nvPicPr>
        <xdr:cNvPr id="2" name="Imagen 1">
          <a:extLst>
            <a:ext uri="{FF2B5EF4-FFF2-40B4-BE49-F238E27FC236}">
              <a16:creationId xmlns:a16="http://schemas.microsoft.com/office/drawing/2014/main" id="{EF05DFD7-CE0D-4759-93AF-D93F6EEFB64E}"/>
            </a:ext>
          </a:extLst>
        </xdr:cNvPr>
        <xdr:cNvPicPr>
          <a:picLocks noChangeAspect="1"/>
        </xdr:cNvPicPr>
      </xdr:nvPicPr>
      <xdr:blipFill>
        <a:blip xmlns:r="http://schemas.openxmlformats.org/officeDocument/2006/relationships" r:embed="rId1"/>
        <a:stretch>
          <a:fillRect/>
        </a:stretch>
      </xdr:blipFill>
      <xdr:spPr>
        <a:xfrm>
          <a:off x="919162" y="523875"/>
          <a:ext cx="1043134" cy="15718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166687</xdr:colOff>
      <xdr:row>1</xdr:row>
      <xdr:rowOff>47625</xdr:rowOff>
    </xdr:from>
    <xdr:to>
      <xdr:col>2</xdr:col>
      <xdr:colOff>285896</xdr:colOff>
      <xdr:row>1</xdr:row>
      <xdr:rowOff>1619469</xdr:rowOff>
    </xdr:to>
    <xdr:pic>
      <xdr:nvPicPr>
        <xdr:cNvPr id="2" name="Imagen 1">
          <a:extLst>
            <a:ext uri="{FF2B5EF4-FFF2-40B4-BE49-F238E27FC236}">
              <a16:creationId xmlns:a16="http://schemas.microsoft.com/office/drawing/2014/main" id="{373C18BD-A90D-4FDF-9933-356B8FC210DF}"/>
            </a:ext>
          </a:extLst>
        </xdr:cNvPr>
        <xdr:cNvPicPr>
          <a:picLocks noChangeAspect="1"/>
        </xdr:cNvPicPr>
      </xdr:nvPicPr>
      <xdr:blipFill>
        <a:blip xmlns:r="http://schemas.openxmlformats.org/officeDocument/2006/relationships" r:embed="rId1"/>
        <a:stretch>
          <a:fillRect/>
        </a:stretch>
      </xdr:blipFill>
      <xdr:spPr>
        <a:xfrm>
          <a:off x="1566862" y="523875"/>
          <a:ext cx="1043134" cy="15718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166687</xdr:colOff>
      <xdr:row>1</xdr:row>
      <xdr:rowOff>47625</xdr:rowOff>
    </xdr:from>
    <xdr:to>
      <xdr:col>2</xdr:col>
      <xdr:colOff>285896</xdr:colOff>
      <xdr:row>1</xdr:row>
      <xdr:rowOff>1619469</xdr:rowOff>
    </xdr:to>
    <xdr:pic>
      <xdr:nvPicPr>
        <xdr:cNvPr id="2" name="Imagen 1">
          <a:extLst>
            <a:ext uri="{FF2B5EF4-FFF2-40B4-BE49-F238E27FC236}">
              <a16:creationId xmlns:a16="http://schemas.microsoft.com/office/drawing/2014/main" id="{78DB68E9-A0C7-4A46-80F2-0951BB852607}"/>
            </a:ext>
          </a:extLst>
        </xdr:cNvPr>
        <xdr:cNvPicPr>
          <a:picLocks noChangeAspect="1"/>
        </xdr:cNvPicPr>
      </xdr:nvPicPr>
      <xdr:blipFill>
        <a:blip xmlns:r="http://schemas.openxmlformats.org/officeDocument/2006/relationships" r:embed="rId1"/>
        <a:stretch>
          <a:fillRect/>
        </a:stretch>
      </xdr:blipFill>
      <xdr:spPr>
        <a:xfrm>
          <a:off x="1566862" y="523875"/>
          <a:ext cx="1043134" cy="15718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166687</xdr:colOff>
      <xdr:row>1</xdr:row>
      <xdr:rowOff>47625</xdr:rowOff>
    </xdr:from>
    <xdr:to>
      <xdr:col>2</xdr:col>
      <xdr:colOff>285896</xdr:colOff>
      <xdr:row>1</xdr:row>
      <xdr:rowOff>1619469</xdr:rowOff>
    </xdr:to>
    <xdr:pic>
      <xdr:nvPicPr>
        <xdr:cNvPr id="2" name="Imagen 1">
          <a:extLst>
            <a:ext uri="{FF2B5EF4-FFF2-40B4-BE49-F238E27FC236}">
              <a16:creationId xmlns:a16="http://schemas.microsoft.com/office/drawing/2014/main" id="{75A2535F-17EB-40AF-90B3-932EDF29E270}"/>
            </a:ext>
          </a:extLst>
        </xdr:cNvPr>
        <xdr:cNvPicPr>
          <a:picLocks noChangeAspect="1"/>
        </xdr:cNvPicPr>
      </xdr:nvPicPr>
      <xdr:blipFill>
        <a:blip xmlns:r="http://schemas.openxmlformats.org/officeDocument/2006/relationships" r:embed="rId1"/>
        <a:stretch>
          <a:fillRect/>
        </a:stretch>
      </xdr:blipFill>
      <xdr:spPr>
        <a:xfrm>
          <a:off x="1566862" y="523875"/>
          <a:ext cx="1043134" cy="15718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BB181"/>
  <sheetViews>
    <sheetView showGridLines="0" tabSelected="1" zoomScale="85" zoomScaleNormal="85" workbookViewId="0">
      <pane xSplit="1" ySplit="3" topLeftCell="B54" activePane="bottomRight" state="frozen"/>
      <selection pane="topRight" activeCell="B1" sqref="B1"/>
      <selection pane="bottomLeft" activeCell="A4" sqref="A4"/>
      <selection pane="bottomRight" activeCell="A140" sqref="A140:A151"/>
    </sheetView>
  </sheetViews>
  <sheetFormatPr baseColWidth="10" defaultColWidth="11.44140625" defaultRowHeight="18" x14ac:dyDescent="0.3"/>
  <cols>
    <col min="1" max="1" width="8.44140625" style="2" bestFit="1" customWidth="1"/>
    <col min="2" max="2" width="8.5546875" style="2" bestFit="1" customWidth="1"/>
    <col min="3" max="3" width="7.6640625" style="2" bestFit="1" customWidth="1"/>
    <col min="4" max="4" width="18.33203125" style="2" bestFit="1" customWidth="1"/>
    <col min="5" max="6" width="20.6640625" style="56" customWidth="1"/>
    <col min="7" max="8" width="6.109375" style="2" customWidth="1"/>
    <col min="9" max="9" width="12.44140625" style="2" bestFit="1" customWidth="1"/>
    <col min="10" max="10" width="7.6640625" style="2" bestFit="1" customWidth="1"/>
    <col min="11" max="13" width="5.5546875" style="2" bestFit="1" customWidth="1"/>
    <col min="14" max="14" width="4.109375" style="2" bestFit="1" customWidth="1"/>
    <col min="15" max="15" width="5.33203125" style="2" customWidth="1"/>
    <col min="16" max="16" width="7.44140625" style="2" bestFit="1" customWidth="1"/>
    <col min="17" max="17" width="5.5546875" style="2" bestFit="1" customWidth="1"/>
    <col min="18" max="18" width="5.33203125" style="2" bestFit="1" customWidth="1"/>
    <col min="19" max="19" width="5.5546875" style="2" bestFit="1" customWidth="1"/>
    <col min="20" max="20" width="5.33203125" style="2" bestFit="1" customWidth="1"/>
    <col min="21" max="21" width="5.5546875" style="2" bestFit="1" customWidth="1"/>
    <col min="22" max="22" width="4.109375" style="2" bestFit="1" customWidth="1"/>
    <col min="23" max="24" width="5.5546875" style="2" bestFit="1" customWidth="1"/>
    <col min="25" max="25" width="4.109375" style="2" bestFit="1" customWidth="1"/>
    <col min="26" max="26" width="7.6640625" style="2" bestFit="1" customWidth="1"/>
    <col min="27" max="28" width="4.109375" style="2" bestFit="1" customWidth="1"/>
    <col min="29" max="29" width="7.44140625" style="2" bestFit="1" customWidth="1"/>
    <col min="30" max="31" width="4.109375" style="2" bestFit="1" customWidth="1"/>
    <col min="32" max="33" width="5.5546875" style="2" bestFit="1" customWidth="1"/>
    <col min="34" max="34" width="4.109375" style="2" bestFit="1" customWidth="1"/>
    <col min="35" max="35" width="5.33203125" style="2" bestFit="1" customWidth="1"/>
    <col min="36" max="37" width="5.5546875" style="2" bestFit="1" customWidth="1"/>
    <col min="38" max="38" width="5.33203125" style="2" customWidth="1"/>
    <col min="39" max="39" width="4.109375" style="2" bestFit="1" customWidth="1"/>
    <col min="40" max="40" width="5.33203125" style="2" bestFit="1" customWidth="1"/>
    <col min="41" max="42" width="5.5546875" style="2" bestFit="1" customWidth="1"/>
    <col min="43" max="46" width="4.109375" style="2" bestFit="1" customWidth="1"/>
    <col min="47" max="52" width="11.44140625" style="2"/>
    <col min="53" max="54" width="11.44140625" style="2" customWidth="1"/>
    <col min="55" max="16384" width="11.44140625" style="2"/>
  </cols>
  <sheetData>
    <row r="1" spans="1:54" ht="37.5" customHeight="1" thickBot="1" x14ac:dyDescent="0.35">
      <c r="A1" s="142" t="s">
        <v>28</v>
      </c>
      <c r="B1" s="142"/>
      <c r="C1" s="142"/>
      <c r="D1" s="142"/>
      <c r="E1" s="142"/>
      <c r="F1" s="142"/>
      <c r="G1" s="142"/>
      <c r="H1" s="142"/>
      <c r="I1" s="142"/>
      <c r="J1" s="43">
        <v>1</v>
      </c>
      <c r="K1" s="44">
        <v>2</v>
      </c>
      <c r="L1" s="44">
        <v>3</v>
      </c>
      <c r="M1" s="34">
        <v>4</v>
      </c>
      <c r="N1" s="34">
        <v>5</v>
      </c>
      <c r="O1" s="34">
        <v>6</v>
      </c>
      <c r="P1" s="34">
        <v>7</v>
      </c>
      <c r="Q1" s="34">
        <v>8</v>
      </c>
      <c r="R1" s="34">
        <v>9</v>
      </c>
      <c r="S1" s="34">
        <v>10</v>
      </c>
      <c r="T1" s="34">
        <v>11</v>
      </c>
      <c r="U1" s="34">
        <v>12</v>
      </c>
      <c r="V1" s="34">
        <v>13</v>
      </c>
      <c r="W1" s="34">
        <v>14</v>
      </c>
      <c r="X1" s="34">
        <v>15</v>
      </c>
      <c r="Y1" s="34">
        <v>16</v>
      </c>
      <c r="Z1" s="34">
        <v>17</v>
      </c>
      <c r="AA1" s="34">
        <v>18</v>
      </c>
      <c r="AB1" s="34">
        <v>19</v>
      </c>
      <c r="AC1" s="34">
        <v>20</v>
      </c>
      <c r="AD1" s="37">
        <v>21</v>
      </c>
      <c r="AE1" s="37">
        <v>22</v>
      </c>
      <c r="AF1" s="37">
        <v>23</v>
      </c>
      <c r="AG1" s="37">
        <v>24</v>
      </c>
      <c r="AH1" s="37">
        <v>25</v>
      </c>
      <c r="AI1" s="37">
        <v>26</v>
      </c>
      <c r="AJ1" s="37">
        <v>27</v>
      </c>
      <c r="AK1" s="37">
        <v>28</v>
      </c>
      <c r="AL1" s="37">
        <v>29</v>
      </c>
      <c r="AM1" s="37">
        <v>30</v>
      </c>
      <c r="AN1" s="37">
        <v>31</v>
      </c>
      <c r="AO1" s="37">
        <v>32</v>
      </c>
      <c r="AP1" s="37">
        <v>33</v>
      </c>
      <c r="AQ1" s="37">
        <v>34</v>
      </c>
      <c r="AR1" s="37">
        <v>35</v>
      </c>
      <c r="AS1" s="37">
        <v>36</v>
      </c>
      <c r="AT1" s="37">
        <v>37</v>
      </c>
    </row>
    <row r="2" spans="1:54" ht="132.75" customHeight="1" thickTop="1" x14ac:dyDescent="0.3">
      <c r="A2" s="40"/>
      <c r="B2" s="40"/>
      <c r="C2" s="40"/>
      <c r="D2" s="40"/>
      <c r="E2" s="54"/>
      <c r="F2" s="55" t="s">
        <v>76</v>
      </c>
      <c r="G2" s="143"/>
      <c r="H2" s="143"/>
      <c r="I2" s="144"/>
      <c r="J2" s="96" t="s">
        <v>170</v>
      </c>
      <c r="K2" s="35" t="s">
        <v>133</v>
      </c>
      <c r="L2" s="52" t="s">
        <v>167</v>
      </c>
      <c r="M2" s="36" t="s">
        <v>153</v>
      </c>
      <c r="N2" s="58" t="s">
        <v>172</v>
      </c>
      <c r="O2" s="36" t="s">
        <v>155</v>
      </c>
      <c r="P2" s="52" t="s">
        <v>173</v>
      </c>
      <c r="Q2" s="52" t="s">
        <v>144</v>
      </c>
      <c r="R2" s="52" t="s">
        <v>158</v>
      </c>
      <c r="S2" s="36" t="s">
        <v>142</v>
      </c>
      <c r="T2" s="36" t="s">
        <v>132</v>
      </c>
      <c r="U2" s="36" t="s">
        <v>147</v>
      </c>
      <c r="V2" s="52" t="s">
        <v>176</v>
      </c>
      <c r="W2" s="52" t="s">
        <v>157</v>
      </c>
      <c r="X2" s="36" t="s">
        <v>139</v>
      </c>
      <c r="Y2" s="52" t="s">
        <v>145</v>
      </c>
      <c r="Z2" s="52" t="s">
        <v>143</v>
      </c>
      <c r="AA2" s="58" t="s">
        <v>138</v>
      </c>
      <c r="AB2" s="52" t="s">
        <v>171</v>
      </c>
      <c r="AC2" s="52" t="s">
        <v>169</v>
      </c>
      <c r="AD2" s="52" t="s">
        <v>174</v>
      </c>
      <c r="AE2" s="52" t="s">
        <v>148</v>
      </c>
      <c r="AF2" s="52" t="s">
        <v>131</v>
      </c>
      <c r="AG2" s="52" t="s">
        <v>150</v>
      </c>
      <c r="AH2" s="95" t="s">
        <v>129</v>
      </c>
      <c r="AI2" s="36" t="s">
        <v>130</v>
      </c>
      <c r="AJ2" s="36" t="s">
        <v>149</v>
      </c>
      <c r="AK2" s="36" t="s">
        <v>154</v>
      </c>
      <c r="AL2" s="36" t="s">
        <v>156</v>
      </c>
      <c r="AM2" s="53" t="s">
        <v>140</v>
      </c>
      <c r="AN2" s="58" t="s">
        <v>134</v>
      </c>
      <c r="AO2" s="58" t="s">
        <v>151</v>
      </c>
      <c r="AP2" s="58" t="s">
        <v>152</v>
      </c>
      <c r="AQ2" s="53" t="s">
        <v>175</v>
      </c>
      <c r="AR2" s="58" t="s">
        <v>141</v>
      </c>
      <c r="AS2" s="52" t="s">
        <v>168</v>
      </c>
      <c r="AT2" s="162" t="s">
        <v>146</v>
      </c>
    </row>
    <row r="3" spans="1:54" ht="28.8" x14ac:dyDescent="0.3">
      <c r="A3" s="59" t="s">
        <v>0</v>
      </c>
      <c r="B3" s="59" t="s">
        <v>74</v>
      </c>
      <c r="C3" s="59" t="s">
        <v>135</v>
      </c>
      <c r="D3" s="59" t="s">
        <v>79</v>
      </c>
      <c r="E3" s="81" t="s">
        <v>5</v>
      </c>
      <c r="F3" s="81" t="s">
        <v>6</v>
      </c>
      <c r="G3" s="145" t="s">
        <v>75</v>
      </c>
      <c r="H3" s="145"/>
      <c r="I3" s="60" t="s">
        <v>8</v>
      </c>
      <c r="J3" s="67">
        <f>SUM(J4+J5)-SUM(J6+J7)</f>
        <v>87</v>
      </c>
      <c r="K3" s="68">
        <f>SUM(K4+K5)-SUM(K6+K7)</f>
        <v>78</v>
      </c>
      <c r="L3" s="68">
        <f>SUM(L4+L5)-SUM(L6+L7)</f>
        <v>76</v>
      </c>
      <c r="M3" s="68">
        <f>SUM(M4+M5)-SUM(M6+M7)</f>
        <v>76</v>
      </c>
      <c r="N3" s="68">
        <f>SUM(N4+N5)-SUM(N6+N7)</f>
        <v>76</v>
      </c>
      <c r="O3" s="68">
        <f>SUM(O4+O5)-SUM(O6+O7)</f>
        <v>76</v>
      </c>
      <c r="P3" s="68">
        <f>SUM(P4+P5)-SUM(P6+P7)</f>
        <v>75</v>
      </c>
      <c r="Q3" s="68">
        <f>SUM(Q4+Q5)-SUM(Q6+Q7)</f>
        <v>72</v>
      </c>
      <c r="R3" s="68">
        <f>SUM(R4+R5)-SUM(R6+R7)</f>
        <v>71</v>
      </c>
      <c r="S3" s="68">
        <f>SUM(S4+S5)-SUM(S6+S7)</f>
        <v>71</v>
      </c>
      <c r="T3" s="68">
        <f>SUM(T4+T5)-SUM(T6+T7)</f>
        <v>71</v>
      </c>
      <c r="U3" s="68">
        <f>SUM(U4+U5)-SUM(U6+U7)</f>
        <v>70</v>
      </c>
      <c r="V3" s="68">
        <f>SUM(V4+V5)-SUM(V6+V7)</f>
        <v>70</v>
      </c>
      <c r="W3" s="68">
        <f>SUM(W4+W5)-SUM(W6+W7)</f>
        <v>70</v>
      </c>
      <c r="X3" s="68">
        <f>SUM(X4+X5)-SUM(X6+X7)</f>
        <v>69</v>
      </c>
      <c r="Y3" s="68">
        <f>SUM(Y4+Y5)-SUM(Y6+Y7)</f>
        <v>68</v>
      </c>
      <c r="Z3" s="68">
        <f>SUM(Z4+Z5)-SUM(Z6+Z7)</f>
        <v>68</v>
      </c>
      <c r="AA3" s="68">
        <f>SUM(AA4+AA5)-SUM(AA6+AA7)</f>
        <v>66</v>
      </c>
      <c r="AB3" s="68">
        <f>SUM(AB4+AB5)-SUM(AB6+AB7)</f>
        <v>64</v>
      </c>
      <c r="AC3" s="68">
        <f>SUM(AC4+AC5)-SUM(AC6+AC7)</f>
        <v>64</v>
      </c>
      <c r="AD3" s="68">
        <f>SUM(AD4+AD5)-SUM(AD6+AD7)</f>
        <v>64</v>
      </c>
      <c r="AE3" s="68">
        <f>SUM(AE4+AE5)-SUM(AE6+AE7)</f>
        <v>64</v>
      </c>
      <c r="AF3" s="68">
        <f>SUM(AF4+AF5)-SUM(AF6+AF7)</f>
        <v>63</v>
      </c>
      <c r="AG3" s="68">
        <f>SUM(AG4+AG5)-SUM(AG6+AG7)</f>
        <v>63</v>
      </c>
      <c r="AH3" s="68">
        <f>SUM(AH4+AH5)-SUM(AH6+AH7)</f>
        <v>63</v>
      </c>
      <c r="AI3" s="68">
        <f>SUM(AI4+AI5)-SUM(AI6+AI7)</f>
        <v>63</v>
      </c>
      <c r="AJ3" s="68">
        <f>SUM(AJ4+AJ5)-SUM(AJ6+AJ7)</f>
        <v>62</v>
      </c>
      <c r="AK3" s="68">
        <f>SUM(AK4+AK5)-SUM(AK6+AK7)</f>
        <v>62</v>
      </c>
      <c r="AL3" s="68">
        <f>SUM(AL4+AL5)-SUM(AL6+AL7)</f>
        <v>61</v>
      </c>
      <c r="AM3" s="68">
        <f>SUM(AM4+AM5)-SUM(AM6+AM7)</f>
        <v>61</v>
      </c>
      <c r="AN3" s="68">
        <f>SUM(AN4+AN5)-SUM(AN6+AN7)</f>
        <v>60</v>
      </c>
      <c r="AO3" s="68">
        <f>SUM(AO4+AO5)-SUM(AO6+AO7)</f>
        <v>60</v>
      </c>
      <c r="AP3" s="68">
        <f>SUM(AP4+AP5)-SUM(AP6+AP7)</f>
        <v>60</v>
      </c>
      <c r="AQ3" s="68">
        <f>SUM(AQ4+AQ5)-SUM(AQ6+AQ7)</f>
        <v>59</v>
      </c>
      <c r="AR3" s="68">
        <f>SUM(AR4+AR5)-SUM(AR6+AR7)</f>
        <v>57</v>
      </c>
      <c r="AS3" s="68">
        <f>SUM(AS4+AS5)-SUM(AS6+AS7)</f>
        <v>53</v>
      </c>
      <c r="AT3" s="69">
        <f>SUM(AT4+AT5)-SUM(AT6+AT7)</f>
        <v>51</v>
      </c>
    </row>
    <row r="4" spans="1:54" ht="14.4" hidden="1" x14ac:dyDescent="0.3">
      <c r="A4" s="61"/>
      <c r="B4" s="61"/>
      <c r="C4" s="61"/>
      <c r="D4" s="61"/>
      <c r="E4" s="61"/>
      <c r="F4" s="61"/>
      <c r="G4" s="62"/>
      <c r="H4" s="62"/>
      <c r="I4" s="63"/>
      <c r="J4" s="72">
        <f>SUM(IF(J8=$I$8,3,0)+IF(J9=$G8+$H8,1,0)+IF(J10=$I$10,3,0)+IF(J11=$G10+$H10,1,0)+IF(J12=$I$12,3,0)+IF(J13=$G12+$H12,1,0)+IF(J14=$I$14,3,0)+IF(J15=$G14+$H14,1,0)
+IF(J16=$I$16,3,0)+IF(J17=$G16+$H16,1,0)+IF(J18=$I$18,3,0)+IF(J19=$G18+$H18,1,0)+IF(J20=$I$20,3,0)+IF(J21=$G20+$H20,1,0)+IF(J22=$I$22,3,0)+IF(J23=$G22+$H22,1,0)+IF(J24=$I$24,3,0)+IF(J25=$G24+$H24,1,0)+IF(J26=$I$26,3,0)+IF(J27=$G26+$H26,1,0)+IF(J28=$I$28,3,0)+IF(J29=$G28+$H28,1,0)+IF(J30=$I$30,3,0)+IF(J31=$G30+$H30,1,0)+IF(J32=$I$32,3,0)+IF(J33=$G32+$H32,1,0)+IF(J34=$I$34,3,0)+IF(J35=$G34+$H34,1,0)+IF(J36=$I$36,3,0)+IF(J37=$G36+$H36,1,0)+IF(J38=$I$38,3,0)+IF(J39=$G38+$H38,1,0)+IF(J40=$I$40,3,0)+IF(J41=$G40+$H40,1,0)+IF(J42=$I$42,3,0)+IF(J43=$G42+$H42,1,0)+IF(J44=$I$44,3,0)+IF(J45=$G44+$H44,1,0)+IF(J46=$I$46,3,0)+IF(J47=$G46+$H46,1,0)+IF(J48=$I$48,3,0)+IF(J49=$G48+$H48,1,0)+IF(J50=$I$50,3,0)+IF(J51=$G50+$H50,1,0)+IF(J52=$I$52,3,0)+IF(J53=$G52+$H52,1,0)+IF(J54=$I$54,3,0)+IF(J55=$G54+$H54,1,0)+IF(J56=$I$56,3,0)+IF(J57=$G56+$H56,1,0)+IF(J58=$I$58,3,0)+IF(J59=$G58+$H58,1,0)+IF(J60=$I$60,3,0)+IF(J61=$G60+$H60,1,0)+IF(J62=$I$62,3,0)+IF(J63=$G62+$H62,1,0)+IF(J64=$I$64,3,0)+IF(J65=$G64+$H64,1,0)+IF(J66=$I$66,3,0)+IF(J67=$G66+$H66,1,0)+IF(J68=$I$68,3,0)+IF(J69=$G68+$H68,1,0)+IF(J70=$I$70,3,0)+IF(J71=$G70+$H70,1,0)+IF(J72=$I$72,3,0)+IF(J73=$G72+$H72,1,0)+IF(J74=$I$74,3,0)+IF(J75=$G74+$H74,1,0)+IF(J76=$I$76,3,0)+IF(J77=$G76+$H76,1,0)+IF(J78=$I$78,3,0)+IF(J79=$G78+$H78,1,0))</f>
        <v>60</v>
      </c>
      <c r="K4" s="73">
        <f>SUM(IF(K8=$I$8,3,0)+IF(K9=$G8+$H8,1,0)+IF(K10=$I$10,3,0)+IF(K11=$G10+$H10,1,0)+IF(K12=$I$12,3,0)+IF(K13=$G12+$H12,1,0)+IF(K14=$I$14,3,0)+IF(K15=$G14+$H14,1,0)
+IF(K16=$I$16,3,0)+IF(K17=$G16+$H16,1,0)+IF(K18=$I$18,3,0)+IF(K19=$G18+$H18,1,0)+IF(K20=$I$20,3,0)+IF(K21=$G20+$H20,1,0)+IF(K22=$I$22,3,0)+IF(K23=$G22+$H22,1,0)+IF(K24=$I$24,3,0)+IF(K25=$G24+$H24,1,0)+IF(K26=$I$26,3,0)+IF(K27=$G26+$H26,1,0)+IF(K28=$I$28,3,0)+IF(K29=$G28+$H28,1,0)+IF(K30=$I$30,3,0)+IF(K31=$G30+$H30,1,0)+IF(K32=$I$32,3,0)+IF(K33=$G32+$H32,1,0)+IF(K34=$I$34,3,0)+IF(K35=$G34+$H34,1,0)+IF(K36=$I$36,3,0)+IF(K37=$G36+$H36,1,0)+IF(K38=$I$38,3,0)+IF(K39=$G38+$H38,1,0)+IF(K40=$I$40,3,0)+IF(K41=$G40+$H40,1,0)+IF(K42=$I$42,3,0)+IF(K43=$G42+$H42,1,0)+IF(K44=$I$44,3,0)+IF(K45=$G44+$H44,1,0)+IF(K46=$I$46,3,0)+IF(K47=$G46+$H46,1,0)+IF(K48=$I$48,3,0)+IF(K49=$G48+$H48,1,0)+IF(K50=$I$50,3,0)+IF(K51=$G50+$H50,1,0)+IF(K52=$I$52,3,0)+IF(K53=$G52+$H52,1,0)+IF(K54=$I$54,3,0)+IF(K55=$G54+$H54,1,0)+IF(K56=$I$56,3,0)+IF(K57=$G56+$H56,1,0)+IF(K58=$I$58,3,0)+IF(K59=$G58+$H58,1,0)+IF(K60=$I$60,3,0)+IF(K61=$G60+$H60,1,0)+IF(K62=$I$62,3,0)+IF(K63=$G62+$H62,1,0)+IF(K64=$I$64,3,0)+IF(K65=$G64+$H64,1,0)+IF(K66=$I$66,3,0)+IF(K67=$G66+$H66,1,0)+IF(K68=$I$68,3,0)+IF(K69=$G68+$H68,1,0)+IF(K70=$I$70,3,0)+IF(K71=$G70+$H70,1,0)+IF(K72=$I$72,3,0)+IF(K73=$G72+$H72,1,0)+IF(K74=$I$74,3,0)+IF(K75=$G74+$H74,1,0)+IF(K76=$I$76,3,0)+IF(K77=$G76+$H76,1,0)+IF(K78=$I$78,3,0)+IF(K79=$G78+$H78,1,0))</f>
        <v>55</v>
      </c>
      <c r="L4" s="73">
        <f>SUM(IF(L8=$I$8,3,0)+IF(L9=$G8+$H8,1,0)+IF(L10=$I$10,3,0)+IF(L11=$G10+$H10,1,0)+IF(L12=$I$12,3,0)+IF(L13=$G12+$H12,1,0)+IF(L14=$I$14,3,0)+IF(L15=$G14+$H14,1,0)
+IF(L16=$I$16,3,0)+IF(L17=$G16+$H16,1,0)+IF(L18=$I$18,3,0)+IF(L19=$G18+$H18,1,0)+IF(L20=$I$20,3,0)+IF(L21=$G20+$H20,1,0)+IF(L22=$I$22,3,0)+IF(L23=$G22+$H22,1,0)+IF(L24=$I$24,3,0)+IF(L25=$G24+$H24,1,0)+IF(L26=$I$26,3,0)+IF(L27=$G26+$H26,1,0)+IF(L28=$I$28,3,0)+IF(L29=$G28+$H28,1,0)+IF(L30=$I$30,3,0)+IF(L31=$G30+$H30,1,0)+IF(L32=$I$32,3,0)+IF(L33=$G32+$H32,1,0)+IF(L34=$I$34,3,0)+IF(L35=$G34+$H34,1,0)+IF(L36=$I$36,3,0)+IF(L37=$G36+$H36,1,0)+IF(L38=$I$38,3,0)+IF(L39=$G38+$H38,1,0)+IF(L40=$I$40,3,0)+IF(L41=$G40+$H40,1,0)+IF(L42=$I$42,3,0)+IF(L43=$G42+$H42,1,0)+IF(L44=$I$44,3,0)+IF(L45=$G44+$H44,1,0)+IF(L46=$I$46,3,0)+IF(L47=$G46+$H46,1,0)+IF(L48=$I$48,3,0)+IF(L49=$G48+$H48,1,0)+IF(L50=$I$50,3,0)+IF(L51=$G50+$H50,1,0)+IF(L52=$I$52,3,0)+IF(L53=$G52+$H52,1,0)+IF(L54=$I$54,3,0)+IF(L55=$G54+$H54,1,0)+IF(L56=$I$56,3,0)+IF(L57=$G56+$H56,1,0)+IF(L58=$I$58,3,0)+IF(L59=$G58+$H58,1,0)+IF(L60=$I$60,3,0)+IF(L61=$G60+$H60,1,0)+IF(L62=$I$62,3,0)+IF(L63=$G62+$H62,1,0)+IF(L64=$I$64,3,0)+IF(L65=$G64+$H64,1,0)+IF(L66=$I$66,3,0)+IF(L67=$G66+$H66,1,0)+IF(L68=$I$68,3,0)+IF(L69=$G68+$H68,1,0)+IF(L70=$I$70,3,0)+IF(L71=$G70+$H70,1,0)+IF(L72=$I$72,3,0)+IF(L73=$G72+$H72,1,0)+IF(L74=$I$74,3,0)+IF(L75=$G74+$H74,1,0)+IF(L76=$I$76,3,0)+IF(L77=$G76+$H76,1,0)+IF(L78=$I$78,3,0)+IF(L79=$G78+$H78,1,0))</f>
        <v>56</v>
      </c>
      <c r="M4" s="73">
        <f>SUM(IF(M8=$I$8,3,0)+IF(M9=$G8+$H8,1,0)+IF(M10=$I$10,3,0)+IF(M11=$G10+$H10,1,0)+IF(M12=$I$12,3,0)+IF(M13=$G12+$H12,1,0)+IF(M14=$I$14,3,0)+IF(M15=$G14+$H14,1,0)
+IF(M16=$I$16,3,0)+IF(M17=$G16+$H16,1,0)+IF(M18=$I$18,3,0)+IF(M19=$G18+$H18,1,0)+IF(M20=$I$20,3,0)+IF(M21=$G20+$H20,1,0)+IF(M22=$I$22,3,0)+IF(M23=$G22+$H22,1,0)+IF(M24=$I$24,3,0)+IF(M25=$G24+$H24,1,0)+IF(M26=$I$26,3,0)+IF(M27=$G26+$H26,1,0)+IF(M28=$I$28,3,0)+IF(M29=$G28+$H28,1,0)+IF(M30=$I$30,3,0)+IF(M31=$G30+$H30,1,0)+IF(M32=$I$32,3,0)+IF(M33=$G32+$H32,1,0)+IF(M34=$I$34,3,0)+IF(M35=$G34+$H34,1,0)+IF(M36=$I$36,3,0)+IF(M37=$G36+$H36,1,0)+IF(M38=$I$38,3,0)+IF(M39=$G38+$H38,1,0)+IF(M40=$I$40,3,0)+IF(M41=$G40+$H40,1,0)+IF(M42=$I$42,3,0)+IF(M43=$G42+$H42,1,0)+IF(M44=$I$44,3,0)+IF(M45=$G44+$H44,1,0)+IF(M46=$I$46,3,0)+IF(M47=$G46+$H46,1,0)+IF(M48=$I$48,3,0)+IF(M49=$G48+$H48,1,0)+IF(M50=$I$50,3,0)+IF(M51=$G50+$H50,1,0)+IF(M52=$I$52,3,0)+IF(M53=$G52+$H52,1,0)+IF(M54=$I$54,3,0)+IF(M55=$G54+$H54,1,0)+IF(M56=$I$56,3,0)+IF(M57=$G56+$H56,1,0)+IF(M58=$I$58,3,0)+IF(M59=$G58+$H58,1,0)+IF(M60=$I$60,3,0)+IF(M61=$G60+$H60,1,0)+IF(M62=$I$62,3,0)+IF(M63=$G62+$H62,1,0)+IF(M64=$I$64,3,0)+IF(M65=$G64+$H64,1,0)+IF(M66=$I$66,3,0)+IF(M67=$G66+$H66,1,0)+IF(M68=$I$68,3,0)+IF(M69=$G68+$H68,1,0)+IF(M70=$I$70,3,0)+IF(M71=$G70+$H70,1,0)+IF(M72=$I$72,3,0)+IF(M73=$G72+$H72,1,0)+IF(M74=$I$74,3,0)+IF(M75=$G74+$H74,1,0)+IF(M76=$I$76,3,0)+IF(M77=$G76+$H76,1,0)+IF(M78=$I$78,3,0)+IF(M79=$G78+$H78,1,0))</f>
        <v>58</v>
      </c>
      <c r="N4" s="73">
        <f>SUM(IF(N8=$I$8,3,0)+IF(N9=$G8+$H8,1,0)+IF(N10=$I$10,3,0)+IF(N11=$G10+$H10,1,0)+IF(N12=$I$12,3,0)+IF(N13=$G12+$H12,1,0)+IF(N14=$I$14,3,0)+IF(N15=$G14+$H14,1,0)
+IF(N16=$I$16,3,0)+IF(N17=$G16+$H16,1,0)+IF(N18=$I$18,3,0)+IF(N19=$G18+$H18,1,0)+IF(N20=$I$20,3,0)+IF(N21=$G20+$H20,1,0)+IF(N22=$I$22,3,0)+IF(N23=$G22+$H22,1,0)+IF(N24=$I$24,3,0)+IF(N25=$G24+$H24,1,0)+IF(N26=$I$26,3,0)+IF(N27=$G26+$H26,1,0)+IF(N28=$I$28,3,0)+IF(N29=$G28+$H28,1,0)+IF(N30=$I$30,3,0)+IF(N31=$G30+$H30,1,0)+IF(N32=$I$32,3,0)+IF(N33=$G32+$H32,1,0)+IF(N34=$I$34,3,0)+IF(N35=$G34+$H34,1,0)+IF(N36=$I$36,3,0)+IF(N37=$G36+$H36,1,0)+IF(N38=$I$38,3,0)+IF(N39=$G38+$H38,1,0)+IF(N40=$I$40,3,0)+IF(N41=$G40+$H40,1,0)+IF(N42=$I$42,3,0)+IF(N43=$G42+$H42,1,0)+IF(N44=$I$44,3,0)+IF(N45=$G44+$H44,1,0)+IF(N46=$I$46,3,0)+IF(N47=$G46+$H46,1,0)+IF(N48=$I$48,3,0)+IF(N49=$G48+$H48,1,0)+IF(N50=$I$50,3,0)+IF(N51=$G50+$H50,1,0)+IF(N52=$I$52,3,0)+IF(N53=$G52+$H52,1,0)+IF(N54=$I$54,3,0)+IF(N55=$G54+$H54,1,0)+IF(N56=$I$56,3,0)+IF(N57=$G56+$H56,1,0)+IF(N58=$I$58,3,0)+IF(N59=$G58+$H58,1,0)+IF(N60=$I$60,3,0)+IF(N61=$G60+$H60,1,0)+IF(N62=$I$62,3,0)+IF(N63=$G62+$H62,1,0)+IF(N64=$I$64,3,0)+IF(N65=$G64+$H64,1,0)+IF(N66=$I$66,3,0)+IF(N67=$G66+$H66,1,0)+IF(N68=$I$68,3,0)+IF(N69=$G68+$H68,1,0)+IF(N70=$I$70,3,0)+IF(N71=$G70+$H70,1,0)+IF(N72=$I$72,3,0)+IF(N73=$G72+$H72,1,0)+IF(N74=$I$74,3,0)+IF(N75=$G74+$H74,1,0)+IF(N76=$I$76,3,0)+IF(N77=$G76+$H76,1,0)+IF(N78=$I$78,3,0)+IF(N79=$G78+$H78,1,0))</f>
        <v>51</v>
      </c>
      <c r="O4" s="73">
        <f>SUM(IF(O8=$I$8,3,0)+IF(O9=$G8+$H8,1,0)+IF(O10=$I$10,3,0)+IF(O11=$G10+$H10,1,0)+IF(O12=$I$12,3,0)+IF(O13=$G12+$H12,1,0)+IF(O14=$I$14,3,0)+IF(O15=$G14+$H14,1,0)
+IF(O16=$I$16,3,0)+IF(O17=$G16+$H16,1,0)+IF(O18=$I$18,3,0)+IF(O19=$G18+$H18,1,0)+IF(O20=$I$20,3,0)+IF(O21=$G20+$H20,1,0)+IF(O22=$I$22,3,0)+IF(O23=$G22+$H22,1,0)+IF(O24=$I$24,3,0)+IF(O25=$G24+$H24,1,0)+IF(O26=$I$26,3,0)+IF(O27=$G26+$H26,1,0)+IF(O28=$I$28,3,0)+IF(O29=$G28+$H28,1,0)+IF(O30=$I$30,3,0)+IF(O31=$G30+$H30,1,0)+IF(O32=$I$32,3,0)+IF(O33=$G32+$H32,1,0)+IF(O34=$I$34,3,0)+IF(O35=$G34+$H34,1,0)+IF(O36=$I$36,3,0)+IF(O37=$G36+$H36,1,0)+IF(O38=$I$38,3,0)+IF(O39=$G38+$H38,1,0)+IF(O40=$I$40,3,0)+IF(O41=$G40+$H40,1,0)+IF(O42=$I$42,3,0)+IF(O43=$G42+$H42,1,0)+IF(O44=$I$44,3,0)+IF(O45=$G44+$H44,1,0)+IF(O46=$I$46,3,0)+IF(O47=$G46+$H46,1,0)+IF(O48=$I$48,3,0)+IF(O49=$G48+$H48,1,0)+IF(O50=$I$50,3,0)+IF(O51=$G50+$H50,1,0)+IF(O52=$I$52,3,0)+IF(O53=$G52+$H52,1,0)+IF(O54=$I$54,3,0)+IF(O55=$G54+$H54,1,0)+IF(O56=$I$56,3,0)+IF(O57=$G56+$H56,1,0)+IF(O58=$I$58,3,0)+IF(O59=$G58+$H58,1,0)+IF(O60=$I$60,3,0)+IF(O61=$G60+$H60,1,0)+IF(O62=$I$62,3,0)+IF(O63=$G62+$H62,1,0)+IF(O64=$I$64,3,0)+IF(O65=$G64+$H64,1,0)+IF(O66=$I$66,3,0)+IF(O67=$G66+$H66,1,0)+IF(O68=$I$68,3,0)+IF(O69=$G68+$H68,1,0)+IF(O70=$I$70,3,0)+IF(O71=$G70+$H70,1,0)+IF(O72=$I$72,3,0)+IF(O73=$G72+$H72,1,0)+IF(O74=$I$74,3,0)+IF(O75=$G74+$H74,1,0)+IF(O76=$I$76,3,0)+IF(O77=$G76+$H76,1,0)+IF(O78=$I$78,3,0)+IF(O79=$G78+$H78,1,0))</f>
        <v>50</v>
      </c>
      <c r="P4" s="73">
        <f>SUM(IF(P8=$I$8,3,0)+IF(P9=$G8+$H8,1,0)+IF(P10=$I$10,3,0)+IF(P11=$G10+$H10,1,0)+IF(P12=$I$12,3,0)+IF(P13=$G12+$H12,1,0)+IF(P14=$I$14,3,0)+IF(P15=$G14+$H14,1,0)
+IF(P16=$I$16,3,0)+IF(P17=$G16+$H16,1,0)+IF(P18=$I$18,3,0)+IF(P19=$G18+$H18,1,0)+IF(P20=$I$20,3,0)+IF(P21=$G20+$H20,1,0)+IF(P22=$I$22,3,0)+IF(P23=$G22+$H22,1,0)+IF(P24=$I$24,3,0)+IF(P25=$G24+$H24,1,0)+IF(P26=$I$26,3,0)+IF(P27=$G26+$H26,1,0)+IF(P28=$I$28,3,0)+IF(P29=$G28+$H28,1,0)+IF(P30=$I$30,3,0)+IF(P31=$G30+$H30,1,0)+IF(P32=$I$32,3,0)+IF(P33=$G32+$H32,1,0)+IF(P34=$I$34,3,0)+IF(P35=$G34+$H34,1,0)+IF(P36=$I$36,3,0)+IF(P37=$G36+$H36,1,0)+IF(P38=$I$38,3,0)+IF(P39=$G38+$H38,1,0)+IF(P40=$I$40,3,0)+IF(P41=$G40+$H40,1,0)+IF(P42=$I$42,3,0)+IF(P43=$G42+$H42,1,0)+IF(P44=$I$44,3,0)+IF(P45=$G44+$H44,1,0)+IF(P46=$I$46,3,0)+IF(P47=$G46+$H46,1,0)+IF(P48=$I$48,3,0)+IF(P49=$G48+$H48,1,0)+IF(P50=$I$50,3,0)+IF(P51=$G50+$H50,1,0)+IF(P52=$I$52,3,0)+IF(P53=$G52+$H52,1,0)+IF(P54=$I$54,3,0)+IF(P55=$G54+$H54,1,0)+IF(P56=$I$56,3,0)+IF(P57=$G56+$H56,1,0)+IF(P58=$I$58,3,0)+IF(P59=$G58+$H58,1,0)+IF(P60=$I$60,3,0)+IF(P61=$G60+$H60,1,0)+IF(P62=$I$62,3,0)+IF(P63=$G62+$H62,1,0)+IF(P64=$I$64,3,0)+IF(P65=$G64+$H64,1,0)+IF(P66=$I$66,3,0)+IF(P67=$G66+$H66,1,0)+IF(P68=$I$68,3,0)+IF(P69=$G68+$H68,1,0)+IF(P70=$I$70,3,0)+IF(P71=$G70+$H70,1,0)+IF(P72=$I$72,3,0)+IF(P73=$G72+$H72,1,0)+IF(P74=$I$74,3,0)+IF(P75=$G74+$H74,1,0)+IF(P76=$I$76,3,0)+IF(P77=$G76+$H76,1,0)+IF(P78=$I$78,3,0)+IF(P79=$G78+$H78,1,0))</f>
        <v>49</v>
      </c>
      <c r="Q4" s="73">
        <f>SUM(IF(Q8=$I$8,3,0)+IF(Q9=$G8+$H8,1,0)+IF(Q10=$I$10,3,0)+IF(Q11=$G10+$H10,1,0)+IF(Q12=$I$12,3,0)+IF(Q13=$G12+$H12,1,0)+IF(Q14=$I$14,3,0)+IF(Q15=$G14+$H14,1,0)
+IF(Q16=$I$16,3,0)+IF(Q17=$G16+$H16,1,0)+IF(Q18=$I$18,3,0)+IF(Q19=$G18+$H18,1,0)+IF(Q20=$I$20,3,0)+IF(Q21=$G20+$H20,1,0)+IF(Q22=$I$22,3,0)+IF(Q23=$G22+$H22,1,0)+IF(Q24=$I$24,3,0)+IF(Q25=$G24+$H24,1,0)+IF(Q26=$I$26,3,0)+IF(Q27=$G26+$H26,1,0)+IF(Q28=$I$28,3,0)+IF(Q29=$G28+$H28,1,0)+IF(Q30=$I$30,3,0)+IF(Q31=$G30+$H30,1,0)+IF(Q32=$I$32,3,0)+IF(Q33=$G32+$H32,1,0)+IF(Q34=$I$34,3,0)+IF(Q35=$G34+$H34,1,0)+IF(Q36=$I$36,3,0)+IF(Q37=$G36+$H36,1,0)+IF(Q38=$I$38,3,0)+IF(Q39=$G38+$H38,1,0)+IF(Q40=$I$40,3,0)+IF(Q41=$G40+$H40,1,0)+IF(Q42=$I$42,3,0)+IF(Q43=$G42+$H42,1,0)+IF(Q44=$I$44,3,0)+IF(Q45=$G44+$H44,1,0)+IF(Q46=$I$46,3,0)+IF(Q47=$G46+$H46,1,0)+IF(Q48=$I$48,3,0)+IF(Q49=$G48+$H48,1,0)+IF(Q50=$I$50,3,0)+IF(Q51=$G50+$H50,1,0)+IF(Q52=$I$52,3,0)+IF(Q53=$G52+$H52,1,0)+IF(Q54=$I$54,3,0)+IF(Q55=$G54+$H54,1,0)+IF(Q56=$I$56,3,0)+IF(Q57=$G56+$H56,1,0)+IF(Q58=$I$58,3,0)+IF(Q59=$G58+$H58,1,0)+IF(Q60=$I$60,3,0)+IF(Q61=$G60+$H60,1,0)+IF(Q62=$I$62,3,0)+IF(Q63=$G62+$H62,1,0)+IF(Q64=$I$64,3,0)+IF(Q65=$G64+$H64,1,0)+IF(Q66=$I$66,3,0)+IF(Q67=$G66+$H66,1,0)+IF(Q68=$I$68,3,0)+IF(Q69=$G68+$H68,1,0)+IF(Q70=$I$70,3,0)+IF(Q71=$G70+$H70,1,0)+IF(Q72=$I$72,3,0)+IF(Q73=$G72+$H72,1,0)+IF(Q74=$I$74,3,0)+IF(Q75=$G74+$H74,1,0)+IF(Q76=$I$76,3,0)+IF(Q77=$G76+$H76,1,0)+IF(Q78=$I$78,3,0)+IF(Q79=$G78+$H78,1,0))</f>
        <v>48</v>
      </c>
      <c r="R4" s="73">
        <f>SUM(IF(R8=$I$8,3,0)+IF(R9=$G8+$H8,1,0)+IF(R10=$I$10,3,0)+IF(R11=$G10+$H10,1,0)+IF(R12=$I$12,3,0)+IF(R13=$G12+$H12,1,0)+IF(R14=$I$14,3,0)+IF(R15=$G14+$H14,1,0)
+IF(R16=$I$16,3,0)+IF(R17=$G16+$H16,1,0)+IF(R18=$I$18,3,0)+IF(R19=$G18+$H18,1,0)+IF(R20=$I$20,3,0)+IF(R21=$G20+$H20,1,0)+IF(R22=$I$22,3,0)+IF(R23=$G22+$H22,1,0)+IF(R24=$I$24,3,0)+IF(R25=$G24+$H24,1,0)+IF(R26=$I$26,3,0)+IF(R27=$G26+$H26,1,0)+IF(R28=$I$28,3,0)+IF(R29=$G28+$H28,1,0)+IF(R30=$I$30,3,0)+IF(R31=$G30+$H30,1,0)+IF(R32=$I$32,3,0)+IF(R33=$G32+$H32,1,0)+IF(R34=$I$34,3,0)+IF(R35=$G34+$H34,1,0)+IF(R36=$I$36,3,0)+IF(R37=$G36+$H36,1,0)+IF(R38=$I$38,3,0)+IF(R39=$G38+$H38,1,0)+IF(R40=$I$40,3,0)+IF(R41=$G40+$H40,1,0)+IF(R42=$I$42,3,0)+IF(R43=$G42+$H42,1,0)+IF(R44=$I$44,3,0)+IF(R45=$G44+$H44,1,0)+IF(R46=$I$46,3,0)+IF(R47=$G46+$H46,1,0)+IF(R48=$I$48,3,0)+IF(R49=$G48+$H48,1,0)+IF(R50=$I$50,3,0)+IF(R51=$G50+$H50,1,0)+IF(R52=$I$52,3,0)+IF(R53=$G52+$H52,1,0)+IF(R54=$I$54,3,0)+IF(R55=$G54+$H54,1,0)+IF(R56=$I$56,3,0)+IF(R57=$G56+$H56,1,0)+IF(R58=$I$58,3,0)+IF(R59=$G58+$H58,1,0)+IF(R60=$I$60,3,0)+IF(R61=$G60+$H60,1,0)+IF(R62=$I$62,3,0)+IF(R63=$G62+$H62,1,0)+IF(R64=$I$64,3,0)+IF(R65=$G64+$H64,1,0)+IF(R66=$I$66,3,0)+IF(R67=$G66+$H66,1,0)+IF(R68=$I$68,3,0)+IF(R69=$G68+$H68,1,0)+IF(R70=$I$70,3,0)+IF(R71=$G70+$H70,1,0)+IF(R72=$I$72,3,0)+IF(R73=$G72+$H72,1,0)+IF(R74=$I$74,3,0)+IF(R75=$G74+$H74,1,0)+IF(R76=$I$76,3,0)+IF(R77=$G76+$H76,1,0)+IF(R78=$I$78,3,0)+IF(R79=$G78+$H78,1,0))</f>
        <v>49</v>
      </c>
      <c r="S4" s="73">
        <f>SUM(IF(S8=$I$8,3,0)+IF(S9=$G8+$H8,1,0)+IF(S10=$I$10,3,0)+IF(S11=$G10+$H10,1,0)+IF(S12=$I$12,3,0)+IF(S13=$G12+$H12,1,0)+IF(S14=$I$14,3,0)+IF(S15=$G14+$H14,1,0)
+IF(S16=$I$16,3,0)+IF(S17=$G16+$H16,1,0)+IF(S18=$I$18,3,0)+IF(S19=$G18+$H18,1,0)+IF(S20=$I$20,3,0)+IF(S21=$G20+$H20,1,0)+IF(S22=$I$22,3,0)+IF(S23=$G22+$H22,1,0)+IF(S24=$I$24,3,0)+IF(S25=$G24+$H24,1,0)+IF(S26=$I$26,3,0)+IF(S27=$G26+$H26,1,0)+IF(S28=$I$28,3,0)+IF(S29=$G28+$H28,1,0)+IF(S30=$I$30,3,0)+IF(S31=$G30+$H30,1,0)+IF(S32=$I$32,3,0)+IF(S33=$G32+$H32,1,0)+IF(S34=$I$34,3,0)+IF(S35=$G34+$H34,1,0)+IF(S36=$I$36,3,0)+IF(S37=$G36+$H36,1,0)+IF(S38=$I$38,3,0)+IF(S39=$G38+$H38,1,0)+IF(S40=$I$40,3,0)+IF(S41=$G40+$H40,1,0)+IF(S42=$I$42,3,0)+IF(S43=$G42+$H42,1,0)+IF(S44=$I$44,3,0)+IF(S45=$G44+$H44,1,0)+IF(S46=$I$46,3,0)+IF(S47=$G46+$H46,1,0)+IF(S48=$I$48,3,0)+IF(S49=$G48+$H48,1,0)+IF(S50=$I$50,3,0)+IF(S51=$G50+$H50,1,0)+IF(S52=$I$52,3,0)+IF(S53=$G52+$H52,1,0)+IF(S54=$I$54,3,0)+IF(S55=$G54+$H54,1,0)+IF(S56=$I$56,3,0)+IF(S57=$G56+$H56,1,0)+IF(S58=$I$58,3,0)+IF(S59=$G58+$H58,1,0)+IF(S60=$I$60,3,0)+IF(S61=$G60+$H60,1,0)+IF(S62=$I$62,3,0)+IF(S63=$G62+$H62,1,0)+IF(S64=$I$64,3,0)+IF(S65=$G64+$H64,1,0)+IF(S66=$I$66,3,0)+IF(S67=$G66+$H66,1,0)+IF(S68=$I$68,3,0)+IF(S69=$G68+$H68,1,0)+IF(S70=$I$70,3,0)+IF(S71=$G70+$H70,1,0)+IF(S72=$I$72,3,0)+IF(S73=$G72+$H72,1,0)+IF(S74=$I$74,3,0)+IF(S75=$G74+$H74,1,0)+IF(S76=$I$76,3,0)+IF(S77=$G76+$H76,1,0)+IF(S78=$I$78,3,0)+IF(S79=$G78+$H78,1,0))</f>
        <v>49</v>
      </c>
      <c r="T4" s="73">
        <f>SUM(IF(T8=$I$8,3,0)+IF(T9=$G8+$H8,1,0)+IF(T10=$I$10,3,0)+IF(T11=$G10+$H10,1,0)+IF(T12=$I$12,3,0)+IF(T13=$G12+$H12,1,0)+IF(T14=$I$14,3,0)+IF(T15=$G14+$H14,1,0)
+IF(T16=$I$16,3,0)+IF(T17=$G16+$H16,1,0)+IF(T18=$I$18,3,0)+IF(T19=$G18+$H18,1,0)+IF(T20=$I$20,3,0)+IF(T21=$G20+$H20,1,0)+IF(T22=$I$22,3,0)+IF(T23=$G22+$H22,1,0)+IF(T24=$I$24,3,0)+IF(T25=$G24+$H24,1,0)+IF(T26=$I$26,3,0)+IF(T27=$G26+$H26,1,0)+IF(T28=$I$28,3,0)+IF(T29=$G28+$H28,1,0)+IF(T30=$I$30,3,0)+IF(T31=$G30+$H30,1,0)+IF(T32=$I$32,3,0)+IF(T33=$G32+$H32,1,0)+IF(T34=$I$34,3,0)+IF(T35=$G34+$H34,1,0)+IF(T36=$I$36,3,0)+IF(T37=$G36+$H36,1,0)+IF(T38=$I$38,3,0)+IF(T39=$G38+$H38,1,0)+IF(T40=$I$40,3,0)+IF(T41=$G40+$H40,1,0)+IF(T42=$I$42,3,0)+IF(T43=$G42+$H42,1,0)+IF(T44=$I$44,3,0)+IF(T45=$G44+$H44,1,0)+IF(T46=$I$46,3,0)+IF(T47=$G46+$H46,1,0)+IF(T48=$I$48,3,0)+IF(T49=$G48+$H48,1,0)+IF(T50=$I$50,3,0)+IF(T51=$G50+$H50,1,0)+IF(T52=$I$52,3,0)+IF(T53=$G52+$H52,1,0)+IF(T54=$I$54,3,0)+IF(T55=$G54+$H54,1,0)+IF(T56=$I$56,3,0)+IF(T57=$G56+$H56,1,0)+IF(T58=$I$58,3,0)+IF(T59=$G58+$H58,1,0)+IF(T60=$I$60,3,0)+IF(T61=$G60+$H60,1,0)+IF(T62=$I$62,3,0)+IF(T63=$G62+$H62,1,0)+IF(T64=$I$64,3,0)+IF(T65=$G64+$H64,1,0)+IF(T66=$I$66,3,0)+IF(T67=$G66+$H66,1,0)+IF(T68=$I$68,3,0)+IF(T69=$G68+$H68,1,0)+IF(T70=$I$70,3,0)+IF(T71=$G70+$H70,1,0)+IF(T72=$I$72,3,0)+IF(T73=$G72+$H72,1,0)+IF(T74=$I$74,3,0)+IF(T75=$G74+$H74,1,0)+IF(T76=$I$76,3,0)+IF(T77=$G76+$H76,1,0)+IF(T78=$I$78,3,0)+IF(T79=$G78+$H78,1,0))</f>
        <v>51</v>
      </c>
      <c r="U4" s="73">
        <f>SUM(IF(U8=$I$8,3,0)+IF(U9=$G8+$H8,1,0)+IF(U10=$I$10,3,0)+IF(U11=$G10+$H10,1,0)+IF(U12=$I$12,3,0)+IF(U13=$G12+$H12,1,0)+IF(U14=$I$14,3,0)+IF(U15=$G14+$H14,1,0)
+IF(U16=$I$16,3,0)+IF(U17=$G16+$H16,1,0)+IF(U18=$I$18,3,0)+IF(U19=$G18+$H18,1,0)+IF(U20=$I$20,3,0)+IF(U21=$G20+$H20,1,0)+IF(U22=$I$22,3,0)+IF(U23=$G22+$H22,1,0)+IF(U24=$I$24,3,0)+IF(U25=$G24+$H24,1,0)+IF(U26=$I$26,3,0)+IF(U27=$G26+$H26,1,0)+IF(U28=$I$28,3,0)+IF(U29=$G28+$H28,1,0)+IF(U30=$I$30,3,0)+IF(U31=$G30+$H30,1,0)+IF(U32=$I$32,3,0)+IF(U33=$G32+$H32,1,0)+IF(U34=$I$34,3,0)+IF(U35=$G34+$H34,1,0)+IF(U36=$I$36,3,0)+IF(U37=$G36+$H36,1,0)+IF(U38=$I$38,3,0)+IF(U39=$G38+$H38,1,0)+IF(U40=$I$40,3,0)+IF(U41=$G40+$H40,1,0)+IF(U42=$I$42,3,0)+IF(U43=$G42+$H42,1,0)+IF(U44=$I$44,3,0)+IF(U45=$G44+$H44,1,0)+IF(U46=$I$46,3,0)+IF(U47=$G46+$H46,1,0)+IF(U48=$I$48,3,0)+IF(U49=$G48+$H48,1,0)+IF(U50=$I$50,3,0)+IF(U51=$G50+$H50,1,0)+IF(U52=$I$52,3,0)+IF(U53=$G52+$H52,1,0)+IF(U54=$I$54,3,0)+IF(U55=$G54+$H54,1,0)+IF(U56=$I$56,3,0)+IF(U57=$G56+$H56,1,0)+IF(U58=$I$58,3,0)+IF(U59=$G58+$H58,1,0)+IF(U60=$I$60,3,0)+IF(U61=$G60+$H60,1,0)+IF(U62=$I$62,3,0)+IF(U63=$G62+$H62,1,0)+IF(U64=$I$64,3,0)+IF(U65=$G64+$H64,1,0)+IF(U66=$I$66,3,0)+IF(U67=$G66+$H66,1,0)+IF(U68=$I$68,3,0)+IF(U69=$G68+$H68,1,0)+IF(U70=$I$70,3,0)+IF(U71=$G70+$H70,1,0)+IF(U72=$I$72,3,0)+IF(U73=$G72+$H72,1,0)+IF(U74=$I$74,3,0)+IF(U75=$G74+$H74,1,0)+IF(U76=$I$76,3,0)+IF(U77=$G76+$H76,1,0)+IF(U78=$I$78,3,0)+IF(U79=$G78+$H78,1,0))</f>
        <v>49</v>
      </c>
      <c r="V4" s="73">
        <f>SUM(IF(V8=$I$8,3,0)+IF(V9=$G8+$H8,1,0)+IF(V10=$I$10,3,0)+IF(V11=$G10+$H10,1,0)+IF(V12=$I$12,3,0)+IF(V13=$G12+$H12,1,0)+IF(V14=$I$14,3,0)+IF(V15=$G14+$H14,1,0)
+IF(V16=$I$16,3,0)+IF(V17=$G16+$H16,1,0)+IF(V18=$I$18,3,0)+IF(V19=$G18+$H18,1,0)+IF(V20=$I$20,3,0)+IF(V21=$G20+$H20,1,0)+IF(V22=$I$22,3,0)+IF(V23=$G22+$H22,1,0)+IF(V24=$I$24,3,0)+IF(V25=$G24+$H24,1,0)+IF(V26=$I$26,3,0)+IF(V27=$G26+$H26,1,0)+IF(V28=$I$28,3,0)+IF(V29=$G28+$H28,1,0)+IF(V30=$I$30,3,0)+IF(V31=$G30+$H30,1,0)+IF(V32=$I$32,3,0)+IF(V33=$G32+$H32,1,0)+IF(V34=$I$34,3,0)+IF(V35=$G34+$H34,1,0)+IF(V36=$I$36,3,0)+IF(V37=$G36+$H36,1,0)+IF(V38=$I$38,3,0)+IF(V39=$G38+$H38,1,0)+IF(V40=$I$40,3,0)+IF(V41=$G40+$H40,1,0)+IF(V42=$I$42,3,0)+IF(V43=$G42+$H42,1,0)+IF(V44=$I$44,3,0)+IF(V45=$G44+$H44,1,0)+IF(V46=$I$46,3,0)+IF(V47=$G46+$H46,1,0)+IF(V48=$I$48,3,0)+IF(V49=$G48+$H48,1,0)+IF(V50=$I$50,3,0)+IF(V51=$G50+$H50,1,0)+IF(V52=$I$52,3,0)+IF(V53=$G52+$H52,1,0)+IF(V54=$I$54,3,0)+IF(V55=$G54+$H54,1,0)+IF(V56=$I$56,3,0)+IF(V57=$G56+$H56,1,0)+IF(V58=$I$58,3,0)+IF(V59=$G58+$H58,1,0)+IF(V60=$I$60,3,0)+IF(V61=$G60+$H60,1,0)+IF(V62=$I$62,3,0)+IF(V63=$G62+$H62,1,0)+IF(V64=$I$64,3,0)+IF(V65=$G64+$H64,1,0)+IF(V66=$I$66,3,0)+IF(V67=$G66+$H66,1,0)+IF(V68=$I$68,3,0)+IF(V69=$G68+$H68,1,0)+IF(V70=$I$70,3,0)+IF(V71=$G70+$H70,1,0)+IF(V72=$I$72,3,0)+IF(V73=$G72+$H72,1,0)+IF(V74=$I$74,3,0)+IF(V75=$G74+$H74,1,0)+IF(V76=$I$76,3,0)+IF(V77=$G76+$H76,1,0)+IF(V78=$I$78,3,0)+IF(V79=$G78+$H78,1,0))</f>
        <v>45</v>
      </c>
      <c r="W4" s="73">
        <f>SUM(IF(W8=$I$8,3,0)+IF(W9=$G8+$H8,1,0)+IF(W10=$I$10,3,0)+IF(W11=$G10+$H10,1,0)+IF(W12=$I$12,3,0)+IF(W13=$G12+$H12,1,0)+IF(W14=$I$14,3,0)+IF(W15=$G14+$H14,1,0)
+IF(W16=$I$16,3,0)+IF(W17=$G16+$H16,1,0)+IF(W18=$I$18,3,0)+IF(W19=$G18+$H18,1,0)+IF(W20=$I$20,3,0)+IF(W21=$G20+$H20,1,0)+IF(W22=$I$22,3,0)+IF(W23=$G22+$H22,1,0)+IF(W24=$I$24,3,0)+IF(W25=$G24+$H24,1,0)+IF(W26=$I$26,3,0)+IF(W27=$G26+$H26,1,0)+IF(W28=$I$28,3,0)+IF(W29=$G28+$H28,1,0)+IF(W30=$I$30,3,0)+IF(W31=$G30+$H30,1,0)+IF(W32=$I$32,3,0)+IF(W33=$G32+$H32,1,0)+IF(W34=$I$34,3,0)+IF(W35=$G34+$H34,1,0)+IF(W36=$I$36,3,0)+IF(W37=$G36+$H36,1,0)+IF(W38=$I$38,3,0)+IF(W39=$G38+$H38,1,0)+IF(W40=$I$40,3,0)+IF(W41=$G40+$H40,1,0)+IF(W42=$I$42,3,0)+IF(W43=$G42+$H42,1,0)+IF(W44=$I$44,3,0)+IF(W45=$G44+$H44,1,0)+IF(W46=$I$46,3,0)+IF(W47=$G46+$H46,1,0)+IF(W48=$I$48,3,0)+IF(W49=$G48+$H48,1,0)+IF(W50=$I$50,3,0)+IF(W51=$G50+$H50,1,0)+IF(W52=$I$52,3,0)+IF(W53=$G52+$H52,1,0)+IF(W54=$I$54,3,0)+IF(W55=$G54+$H54,1,0)+IF(W56=$I$56,3,0)+IF(W57=$G56+$H56,1,0)+IF(W58=$I$58,3,0)+IF(W59=$G58+$H58,1,0)+IF(W60=$I$60,3,0)+IF(W61=$G60+$H60,1,0)+IF(W62=$I$62,3,0)+IF(W63=$G62+$H62,1,0)+IF(W64=$I$64,3,0)+IF(W65=$G64+$H64,1,0)+IF(W66=$I$66,3,0)+IF(W67=$G66+$H66,1,0)+IF(W68=$I$68,3,0)+IF(W69=$G68+$H68,1,0)+IF(W70=$I$70,3,0)+IF(W71=$G70+$H70,1,0)+IF(W72=$I$72,3,0)+IF(W73=$G72+$H72,1,0)+IF(W74=$I$74,3,0)+IF(W75=$G74+$H74,1,0)+IF(W76=$I$76,3,0)+IF(W77=$G76+$H76,1,0)+IF(W78=$I$78,3,0)+IF(W79=$G78+$H78,1,0))</f>
        <v>51</v>
      </c>
      <c r="X4" s="73">
        <f>SUM(IF(X8=$I$8,3,0)+IF(X9=$G8+$H8,1,0)+IF(X10=$I$10,3,0)+IF(X11=$G10+$H10,1,0)+IF(X12=$I$12,3,0)+IF(X13=$G12+$H12,1,0)+IF(X14=$I$14,3,0)+IF(X15=$G14+$H14,1,0)
+IF(X16=$I$16,3,0)+IF(X17=$G16+$H16,1,0)+IF(X18=$I$18,3,0)+IF(X19=$G18+$H18,1,0)+IF(X20=$I$20,3,0)+IF(X21=$G20+$H20,1,0)+IF(X22=$I$22,3,0)+IF(X23=$G22+$H22,1,0)+IF(X24=$I$24,3,0)+IF(X25=$G24+$H24,1,0)+IF(X26=$I$26,3,0)+IF(X27=$G26+$H26,1,0)+IF(X28=$I$28,3,0)+IF(X29=$G28+$H28,1,0)+IF(X30=$I$30,3,0)+IF(X31=$G30+$H30,1,0)+IF(X32=$I$32,3,0)+IF(X33=$G32+$H32,1,0)+IF(X34=$I$34,3,0)+IF(X35=$G34+$H34,1,0)+IF(X36=$I$36,3,0)+IF(X37=$G36+$H36,1,0)+IF(X38=$I$38,3,0)+IF(X39=$G38+$H38,1,0)+IF(X40=$I$40,3,0)+IF(X41=$G40+$H40,1,0)+IF(X42=$I$42,3,0)+IF(X43=$G42+$H42,1,0)+IF(X44=$I$44,3,0)+IF(X45=$G44+$H44,1,0)+IF(X46=$I$46,3,0)+IF(X47=$G46+$H46,1,0)+IF(X48=$I$48,3,0)+IF(X49=$G48+$H48,1,0)+IF(X50=$I$50,3,0)+IF(X51=$G50+$H50,1,0)+IF(X52=$I$52,3,0)+IF(X53=$G52+$H52,1,0)+IF(X54=$I$54,3,0)+IF(X55=$G54+$H54,1,0)+IF(X56=$I$56,3,0)+IF(X57=$G56+$H56,1,0)+IF(X58=$I$58,3,0)+IF(X59=$G58+$H58,1,0)+IF(X60=$I$60,3,0)+IF(X61=$G60+$H60,1,0)+IF(X62=$I$62,3,0)+IF(X63=$G62+$H62,1,0)+IF(X64=$I$64,3,0)+IF(X65=$G64+$H64,1,0)+IF(X66=$I$66,3,0)+IF(X67=$G66+$H66,1,0)+IF(X68=$I$68,3,0)+IF(X69=$G68+$H68,1,0)+IF(X70=$I$70,3,0)+IF(X71=$G70+$H70,1,0)+IF(X72=$I$72,3,0)+IF(X73=$G72+$H72,1,0)+IF(X74=$I$74,3,0)+IF(X75=$G74+$H74,1,0)+IF(X76=$I$76,3,0)+IF(X77=$G76+$H76,1,0)+IF(X78=$I$78,3,0)+IF(X79=$G78+$H78,1,0))</f>
        <v>44</v>
      </c>
      <c r="Y4" s="73">
        <f>SUM(IF(Y8=$I$8,3,0)+IF(Y9=$G8+$H8,1,0)+IF(Y10=$I$10,3,0)+IF(Y11=$G10+$H10,1,0)+IF(Y12=$I$12,3,0)+IF(Y13=$G12+$H12,1,0)+IF(Y14=$I$14,3,0)+IF(Y15=$G14+$H14,1,0)
+IF(Y16=$I$16,3,0)+IF(Y17=$G16+$H16,1,0)+IF(Y18=$I$18,3,0)+IF(Y19=$G18+$H18,1,0)+IF(Y20=$I$20,3,0)+IF(Y21=$G20+$H20,1,0)+IF(Y22=$I$22,3,0)+IF(Y23=$G22+$H22,1,0)+IF(Y24=$I$24,3,0)+IF(Y25=$G24+$H24,1,0)+IF(Y26=$I$26,3,0)+IF(Y27=$G26+$H26,1,0)+IF(Y28=$I$28,3,0)+IF(Y29=$G28+$H28,1,0)+IF(Y30=$I$30,3,0)+IF(Y31=$G30+$H30,1,0)+IF(Y32=$I$32,3,0)+IF(Y33=$G32+$H32,1,0)+IF(Y34=$I$34,3,0)+IF(Y35=$G34+$H34,1,0)+IF(Y36=$I$36,3,0)+IF(Y37=$G36+$H36,1,0)+IF(Y38=$I$38,3,0)+IF(Y39=$G38+$H38,1,0)+IF(Y40=$I$40,3,0)+IF(Y41=$G40+$H40,1,0)+IF(Y42=$I$42,3,0)+IF(Y43=$G42+$H42,1,0)+IF(Y44=$I$44,3,0)+IF(Y45=$G44+$H44,1,0)+IF(Y46=$I$46,3,0)+IF(Y47=$G46+$H46,1,0)+IF(Y48=$I$48,3,0)+IF(Y49=$G48+$H48,1,0)+IF(Y50=$I$50,3,0)+IF(Y51=$G50+$H50,1,0)+IF(Y52=$I$52,3,0)+IF(Y53=$G52+$H52,1,0)+IF(Y54=$I$54,3,0)+IF(Y55=$G54+$H54,1,0)+IF(Y56=$I$56,3,0)+IF(Y57=$G56+$H56,1,0)+IF(Y58=$I$58,3,0)+IF(Y59=$G58+$H58,1,0)+IF(Y60=$I$60,3,0)+IF(Y61=$G60+$H60,1,0)+IF(Y62=$I$62,3,0)+IF(Y63=$G62+$H62,1,0)+IF(Y64=$I$64,3,0)+IF(Y65=$G64+$H64,1,0)+IF(Y66=$I$66,3,0)+IF(Y67=$G66+$H66,1,0)+IF(Y68=$I$68,3,0)+IF(Y69=$G68+$H68,1,0)+IF(Y70=$I$70,3,0)+IF(Y71=$G70+$H70,1,0)+IF(Y72=$I$72,3,0)+IF(Y73=$G72+$H72,1,0)+IF(Y74=$I$74,3,0)+IF(Y75=$G74+$H74,1,0)+IF(Y76=$I$76,3,0)+IF(Y77=$G76+$H76,1,0)+IF(Y78=$I$78,3,0)+IF(Y79=$G78+$H78,1,0))</f>
        <v>45</v>
      </c>
      <c r="Z4" s="73">
        <f>SUM(IF(Z8=$I$8,3,0)+IF(Z9=$G8+$H8,1,0)+IF(Z10=$I$10,3,0)+IF(Z11=$G10+$H10,1,0)+IF(Z12=$I$12,3,0)+IF(Z13=$G12+$H12,1,0)+IF(Z14=$I$14,3,0)+IF(Z15=$G14+$H14,1,0)
+IF(Z16=$I$16,3,0)+IF(Z17=$G16+$H16,1,0)+IF(Z18=$I$18,3,0)+IF(Z19=$G18+$H18,1,0)+IF(Z20=$I$20,3,0)+IF(Z21=$G20+$H20,1,0)+IF(Z22=$I$22,3,0)+IF(Z23=$G22+$H22,1,0)+IF(Z24=$I$24,3,0)+IF(Z25=$G24+$H24,1,0)+IF(Z26=$I$26,3,0)+IF(Z27=$G26+$H26,1,0)+IF(Z28=$I$28,3,0)+IF(Z29=$G28+$H28,1,0)+IF(Z30=$I$30,3,0)+IF(Z31=$G30+$H30,1,0)+IF(Z32=$I$32,3,0)+IF(Z33=$G32+$H32,1,0)+IF(Z34=$I$34,3,0)+IF(Z35=$G34+$H34,1,0)+IF(Z36=$I$36,3,0)+IF(Z37=$G36+$H36,1,0)+IF(Z38=$I$38,3,0)+IF(Z39=$G38+$H38,1,0)+IF(Z40=$I$40,3,0)+IF(Z41=$G40+$H40,1,0)+IF(Z42=$I$42,3,0)+IF(Z43=$G42+$H42,1,0)+IF(Z44=$I$44,3,0)+IF(Z45=$G44+$H44,1,0)+IF(Z46=$I$46,3,0)+IF(Z47=$G46+$H46,1,0)+IF(Z48=$I$48,3,0)+IF(Z49=$G48+$H48,1,0)+IF(Z50=$I$50,3,0)+IF(Z51=$G50+$H50,1,0)+IF(Z52=$I$52,3,0)+IF(Z53=$G52+$H52,1,0)+IF(Z54=$I$54,3,0)+IF(Z55=$G54+$H54,1,0)+IF(Z56=$I$56,3,0)+IF(Z57=$G56+$H56,1,0)+IF(Z58=$I$58,3,0)+IF(Z59=$G58+$H58,1,0)+IF(Z60=$I$60,3,0)+IF(Z61=$G60+$H60,1,0)+IF(Z62=$I$62,3,0)+IF(Z63=$G62+$H62,1,0)+IF(Z64=$I$64,3,0)+IF(Z65=$G64+$H64,1,0)+IF(Z66=$I$66,3,0)+IF(Z67=$G66+$H66,1,0)+IF(Z68=$I$68,3,0)+IF(Z69=$G68+$H68,1,0)+IF(Z70=$I$70,3,0)+IF(Z71=$G70+$H70,1,0)+IF(Z72=$I$72,3,0)+IF(Z73=$G72+$H72,1,0)+IF(Z74=$I$74,3,0)+IF(Z75=$G74+$H74,1,0)+IF(Z76=$I$76,3,0)+IF(Z77=$G76+$H76,1,0)+IF(Z78=$I$78,3,0)+IF(Z79=$G78+$H78,1,0))</f>
        <v>50</v>
      </c>
      <c r="AA4" s="73">
        <f>SUM(IF(AA8=$I$8,3,0)+IF(AA9=$G8+$H8,1,0)+IF(AA10=$I$10,3,0)+IF(AA11=$G10+$H10,1,0)+IF(AA12=$I$12,3,0)+IF(AA13=$G12+$H12,1,0)+IF(AA14=$I$14,3,0)+IF(AA15=$G14+$H14,1,0)
+IF(AA16=$I$16,3,0)+IF(AA17=$G16+$H16,1,0)+IF(AA18=$I$18,3,0)+IF(AA19=$G18+$H18,1,0)+IF(AA20=$I$20,3,0)+IF(AA21=$G20+$H20,1,0)+IF(AA22=$I$22,3,0)+IF(AA23=$G22+$H22,1,0)+IF(AA24=$I$24,3,0)+IF(AA25=$G24+$H24,1,0)+IF(AA26=$I$26,3,0)+IF(AA27=$G26+$H26,1,0)+IF(AA28=$I$28,3,0)+IF(AA29=$G28+$H28,1,0)+IF(AA30=$I$30,3,0)+IF(AA31=$G30+$H30,1,0)+IF(AA32=$I$32,3,0)+IF(AA33=$G32+$H32,1,0)+IF(AA34=$I$34,3,0)+IF(AA35=$G34+$H34,1,0)+IF(AA36=$I$36,3,0)+IF(AA37=$G36+$H36,1,0)+IF(AA38=$I$38,3,0)+IF(AA39=$G38+$H38,1,0)+IF(AA40=$I$40,3,0)+IF(AA41=$G40+$H40,1,0)+IF(AA42=$I$42,3,0)+IF(AA43=$G42+$H42,1,0)+IF(AA44=$I$44,3,0)+IF(AA45=$G44+$H44,1,0)+IF(AA46=$I$46,3,0)+IF(AA47=$G46+$H46,1,0)+IF(AA48=$I$48,3,0)+IF(AA49=$G48+$H48,1,0)+IF(AA50=$I$50,3,0)+IF(AA51=$G50+$H50,1,0)+IF(AA52=$I$52,3,0)+IF(AA53=$G52+$H52,1,0)+IF(AA54=$I$54,3,0)+IF(AA55=$G54+$H54,1,0)+IF(AA56=$I$56,3,0)+IF(AA57=$G56+$H56,1,0)+IF(AA58=$I$58,3,0)+IF(AA59=$G58+$H58,1,0)+IF(AA60=$I$60,3,0)+IF(AA61=$G60+$H60,1,0)+IF(AA62=$I$62,3,0)+IF(AA63=$G62+$H62,1,0)+IF(AA64=$I$64,3,0)+IF(AA65=$G64+$H64,1,0)+IF(AA66=$I$66,3,0)+IF(AA67=$G66+$H66,1,0)+IF(AA68=$I$68,3,0)+IF(AA69=$G68+$H68,1,0)+IF(AA70=$I$70,3,0)+IF(AA71=$G70+$H70,1,0)+IF(AA72=$I$72,3,0)+IF(AA73=$G72+$H72,1,0)+IF(AA74=$I$74,3,0)+IF(AA75=$G74+$H74,1,0)+IF(AA76=$I$76,3,0)+IF(AA77=$G76+$H76,1,0)+IF(AA78=$I$78,3,0)+IF(AA79=$G78+$H78,1,0))</f>
        <v>44</v>
      </c>
      <c r="AB4" s="73">
        <f>SUM(IF(AB8=$I$8,3,0)+IF(AB9=$G8+$H8,1,0)+IF(AB10=$I$10,3,0)+IF(AB11=$G10+$H10,1,0)+IF(AB12=$I$12,3,0)+IF(AB13=$G12+$H12,1,0)+IF(AB14=$I$14,3,0)+IF(AB15=$G14+$H14,1,0)
+IF(AB16=$I$16,3,0)+IF(AB17=$G16+$H16,1,0)+IF(AB18=$I$18,3,0)+IF(AB19=$G18+$H18,1,0)+IF(AB20=$I$20,3,0)+IF(AB21=$G20+$H20,1,0)+IF(AB22=$I$22,3,0)+IF(AB23=$G22+$H22,1,0)+IF(AB24=$I$24,3,0)+IF(AB25=$G24+$H24,1,0)+IF(AB26=$I$26,3,0)+IF(AB27=$G26+$H26,1,0)+IF(AB28=$I$28,3,0)+IF(AB29=$G28+$H28,1,0)+IF(AB30=$I$30,3,0)+IF(AB31=$G30+$H30,1,0)+IF(AB32=$I$32,3,0)+IF(AB33=$G32+$H32,1,0)+IF(AB34=$I$34,3,0)+IF(AB35=$G34+$H34,1,0)+IF(AB36=$I$36,3,0)+IF(AB37=$G36+$H36,1,0)+IF(AB38=$I$38,3,0)+IF(AB39=$G38+$H38,1,0)+IF(AB40=$I$40,3,0)+IF(AB41=$G40+$H40,1,0)+IF(AB42=$I$42,3,0)+IF(AB43=$G42+$H42,1,0)+IF(AB44=$I$44,3,0)+IF(AB45=$G44+$H44,1,0)+IF(AB46=$I$46,3,0)+IF(AB47=$G46+$H46,1,0)+IF(AB48=$I$48,3,0)+IF(AB49=$G48+$H48,1,0)+IF(AB50=$I$50,3,0)+IF(AB51=$G50+$H50,1,0)+IF(AB52=$I$52,3,0)+IF(AB53=$G52+$H52,1,0)+IF(AB54=$I$54,3,0)+IF(AB55=$G54+$H54,1,0)+IF(AB56=$I$56,3,0)+IF(AB57=$G56+$H56,1,0)+IF(AB58=$I$58,3,0)+IF(AB59=$G58+$H58,1,0)+IF(AB60=$I$60,3,0)+IF(AB61=$G60+$H60,1,0)+IF(AB62=$I$62,3,0)+IF(AB63=$G62+$H62,1,0)+IF(AB64=$I$64,3,0)+IF(AB65=$G64+$H64,1,0)+IF(AB66=$I$66,3,0)+IF(AB67=$G66+$H66,1,0)+IF(AB68=$I$68,3,0)+IF(AB69=$G68+$H68,1,0)+IF(AB70=$I$70,3,0)+IF(AB71=$G70+$H70,1,0)+IF(AB72=$I$72,3,0)+IF(AB73=$G72+$H72,1,0)+IF(AB74=$I$74,3,0)+IF(AB75=$G74+$H74,1,0)+IF(AB76=$I$76,3,0)+IF(AB77=$G76+$H76,1,0)+IF(AB78=$I$78,3,0)+IF(AB79=$G78+$H78,1,0))</f>
        <v>40</v>
      </c>
      <c r="AC4" s="73">
        <f>SUM(IF(AC8=$I$8,3,0)+IF(AC9=$G8+$H8,1,0)+IF(AC10=$I$10,3,0)+IF(AC11=$G10+$H10,1,0)+IF(AC12=$I$12,3,0)+IF(AC13=$G12+$H12,1,0)+IF(AC14=$I$14,3,0)+IF(AC15=$G14+$H14,1,0)
+IF(AC16=$I$16,3,0)+IF(AC17=$G16+$H16,1,0)+IF(AC18=$I$18,3,0)+IF(AC19=$G18+$H18,1,0)+IF(AC20=$I$20,3,0)+IF(AC21=$G20+$H20,1,0)+IF(AC22=$I$22,3,0)+IF(AC23=$G22+$H22,1,0)+IF(AC24=$I$24,3,0)+IF(AC25=$G24+$H24,1,0)+IF(AC26=$I$26,3,0)+IF(AC27=$G26+$H26,1,0)+IF(AC28=$I$28,3,0)+IF(AC29=$G28+$H28,1,0)+IF(AC30=$I$30,3,0)+IF(AC31=$G30+$H30,1,0)+IF(AC32=$I$32,3,0)+IF(AC33=$G32+$H32,1,0)+IF(AC34=$I$34,3,0)+IF(AC35=$G34+$H34,1,0)+IF(AC36=$I$36,3,0)+IF(AC37=$G36+$H36,1,0)+IF(AC38=$I$38,3,0)+IF(AC39=$G38+$H38,1,0)+IF(AC40=$I$40,3,0)+IF(AC41=$G40+$H40,1,0)+IF(AC42=$I$42,3,0)+IF(AC43=$G42+$H42,1,0)+IF(AC44=$I$44,3,0)+IF(AC45=$G44+$H44,1,0)+IF(AC46=$I$46,3,0)+IF(AC47=$G46+$H46,1,0)+IF(AC48=$I$48,3,0)+IF(AC49=$G48+$H48,1,0)+IF(AC50=$I$50,3,0)+IF(AC51=$G50+$H50,1,0)+IF(AC52=$I$52,3,0)+IF(AC53=$G52+$H52,1,0)+IF(AC54=$I$54,3,0)+IF(AC55=$G54+$H54,1,0)+IF(AC56=$I$56,3,0)+IF(AC57=$G56+$H56,1,0)+IF(AC58=$I$58,3,0)+IF(AC59=$G58+$H58,1,0)+IF(AC60=$I$60,3,0)+IF(AC61=$G60+$H60,1,0)+IF(AC62=$I$62,3,0)+IF(AC63=$G62+$H62,1,0)+IF(AC64=$I$64,3,0)+IF(AC65=$G64+$H64,1,0)+IF(AC66=$I$66,3,0)+IF(AC67=$G66+$H66,1,0)+IF(AC68=$I$68,3,0)+IF(AC69=$G68+$H68,1,0)+IF(AC70=$I$70,3,0)+IF(AC71=$G70+$H70,1,0)+IF(AC72=$I$72,3,0)+IF(AC73=$G72+$H72,1,0)+IF(AC74=$I$74,3,0)+IF(AC75=$G74+$H74,1,0)+IF(AC76=$I$76,3,0)+IF(AC77=$G76+$H76,1,0)+IF(AC78=$I$78,3,0)+IF(AC79=$G78+$H78,1,0))</f>
        <v>47</v>
      </c>
      <c r="AD4" s="73">
        <f>SUM(IF(AD8=$I$8,3,0)+IF(AD9=$G8+$H8,1,0)+IF(AD10=$I$10,3,0)+IF(AD11=$G10+$H10,1,0)+IF(AD12=$I$12,3,0)+IF(AD13=$G12+$H12,1,0)+IF(AD14=$I$14,3,0)+IF(AD15=$G14+$H14,1,0)
+IF(AD16=$I$16,3,0)+IF(AD17=$G16+$H16,1,0)+IF(AD18=$I$18,3,0)+IF(AD19=$G18+$H18,1,0)+IF(AD20=$I$20,3,0)+IF(AD21=$G20+$H20,1,0)+IF(AD22=$I$22,3,0)+IF(AD23=$G22+$H22,1,0)+IF(AD24=$I$24,3,0)+IF(AD25=$G24+$H24,1,0)+IF(AD26=$I$26,3,0)+IF(AD27=$G26+$H26,1,0)+IF(AD28=$I$28,3,0)+IF(AD29=$G28+$H28,1,0)+IF(AD30=$I$30,3,0)+IF(AD31=$G30+$H30,1,0)+IF(AD32=$I$32,3,0)+IF(AD33=$G32+$H32,1,0)+IF(AD34=$I$34,3,0)+IF(AD35=$G34+$H34,1,0)+IF(AD36=$I$36,3,0)+IF(AD37=$G36+$H36,1,0)+IF(AD38=$I$38,3,0)+IF(AD39=$G38+$H38,1,0)+IF(AD40=$I$40,3,0)+IF(AD41=$G40+$H40,1,0)+IF(AD42=$I$42,3,0)+IF(AD43=$G42+$H42,1,0)+IF(AD44=$I$44,3,0)+IF(AD45=$G44+$H44,1,0)+IF(AD46=$I$46,3,0)+IF(AD47=$G46+$H46,1,0)+IF(AD48=$I$48,3,0)+IF(AD49=$G48+$H48,1,0)+IF(AD50=$I$50,3,0)+IF(AD51=$G50+$H50,1,0)+IF(AD52=$I$52,3,0)+IF(AD53=$G52+$H52,1,0)+IF(AD54=$I$54,3,0)+IF(AD55=$G54+$H54,1,0)+IF(AD56=$I$56,3,0)+IF(AD57=$G56+$H56,1,0)+IF(AD58=$I$58,3,0)+IF(AD59=$G58+$H58,1,0)+IF(AD60=$I$60,3,0)+IF(AD61=$G60+$H60,1,0)+IF(AD62=$I$62,3,0)+IF(AD63=$G62+$H62,1,0)+IF(AD64=$I$64,3,0)+IF(AD65=$G64+$H64,1,0)+IF(AD66=$I$66,3,0)+IF(AD67=$G66+$H66,1,0)+IF(AD68=$I$68,3,0)+IF(AD69=$G68+$H68,1,0)+IF(AD70=$I$70,3,0)+IF(AD71=$G70+$H70,1,0)+IF(AD72=$I$72,3,0)+IF(AD73=$G72+$H72,1,0)+IF(AD74=$I$74,3,0)+IF(AD75=$G74+$H74,1,0)+IF(AD76=$I$76,3,0)+IF(AD77=$G76+$H76,1,0)+IF(AD78=$I$78,3,0)+IF(AD79=$G78+$H78,1,0))</f>
        <v>45</v>
      </c>
      <c r="AE4" s="73">
        <f>SUM(IF(AE8=$I$8,3,0)+IF(AE9=$G8+$H8,1,0)+IF(AE10=$I$10,3,0)+IF(AE11=$G10+$H10,1,0)+IF(AE12=$I$12,3,0)+IF(AE13=$G12+$H12,1,0)+IF(AE14=$I$14,3,0)+IF(AE15=$G14+$H14,1,0)
+IF(AE16=$I$16,3,0)+IF(AE17=$G16+$H16,1,0)+IF(AE18=$I$18,3,0)+IF(AE19=$G18+$H18,1,0)+IF(AE20=$I$20,3,0)+IF(AE21=$G20+$H20,1,0)+IF(AE22=$I$22,3,0)+IF(AE23=$G22+$H22,1,0)+IF(AE24=$I$24,3,0)+IF(AE25=$G24+$H24,1,0)+IF(AE26=$I$26,3,0)+IF(AE27=$G26+$H26,1,0)+IF(AE28=$I$28,3,0)+IF(AE29=$G28+$H28,1,0)+IF(AE30=$I$30,3,0)+IF(AE31=$G30+$H30,1,0)+IF(AE32=$I$32,3,0)+IF(AE33=$G32+$H32,1,0)+IF(AE34=$I$34,3,0)+IF(AE35=$G34+$H34,1,0)+IF(AE36=$I$36,3,0)+IF(AE37=$G36+$H36,1,0)+IF(AE38=$I$38,3,0)+IF(AE39=$G38+$H38,1,0)+IF(AE40=$I$40,3,0)+IF(AE41=$G40+$H40,1,0)+IF(AE42=$I$42,3,0)+IF(AE43=$G42+$H42,1,0)+IF(AE44=$I$44,3,0)+IF(AE45=$G44+$H44,1,0)+IF(AE46=$I$46,3,0)+IF(AE47=$G46+$H46,1,0)+IF(AE48=$I$48,3,0)+IF(AE49=$G48+$H48,1,0)+IF(AE50=$I$50,3,0)+IF(AE51=$G50+$H50,1,0)+IF(AE52=$I$52,3,0)+IF(AE53=$G52+$H52,1,0)+IF(AE54=$I$54,3,0)+IF(AE55=$G54+$H54,1,0)+IF(AE56=$I$56,3,0)+IF(AE57=$G56+$H56,1,0)+IF(AE58=$I$58,3,0)+IF(AE59=$G58+$H58,1,0)+IF(AE60=$I$60,3,0)+IF(AE61=$G60+$H60,1,0)+IF(AE62=$I$62,3,0)+IF(AE63=$G62+$H62,1,0)+IF(AE64=$I$64,3,0)+IF(AE65=$G64+$H64,1,0)+IF(AE66=$I$66,3,0)+IF(AE67=$G66+$H66,1,0)+IF(AE68=$I$68,3,0)+IF(AE69=$G68+$H68,1,0)+IF(AE70=$I$70,3,0)+IF(AE71=$G70+$H70,1,0)+IF(AE72=$I$72,3,0)+IF(AE73=$G72+$H72,1,0)+IF(AE74=$I$74,3,0)+IF(AE75=$G74+$H74,1,0)+IF(AE76=$I$76,3,0)+IF(AE77=$G76+$H76,1,0)+IF(AE78=$I$78,3,0)+IF(AE79=$G78+$H78,1,0))</f>
        <v>43</v>
      </c>
      <c r="AF4" s="73">
        <f>SUM(IF(AF8=$I$8,3,0)+IF(AF9=$G8+$H8,1,0)+IF(AF10=$I$10,3,0)+IF(AF11=$G10+$H10,1,0)+IF(AF12=$I$12,3,0)+IF(AF13=$G12+$H12,1,0)+IF(AF14=$I$14,3,0)+IF(AF15=$G14+$H14,1,0)
+IF(AF16=$I$16,3,0)+IF(AF17=$G16+$H16,1,0)+IF(AF18=$I$18,3,0)+IF(AF19=$G18+$H18,1,0)+IF(AF20=$I$20,3,0)+IF(AF21=$G20+$H20,1,0)+IF(AF22=$I$22,3,0)+IF(AF23=$G22+$H22,1,0)+IF(AF24=$I$24,3,0)+IF(AF25=$G24+$H24,1,0)+IF(AF26=$I$26,3,0)+IF(AF27=$G26+$H26,1,0)+IF(AF28=$I$28,3,0)+IF(AF29=$G28+$H28,1,0)+IF(AF30=$I$30,3,0)+IF(AF31=$G30+$H30,1,0)+IF(AF32=$I$32,3,0)+IF(AF33=$G32+$H32,1,0)+IF(AF34=$I$34,3,0)+IF(AF35=$G34+$H34,1,0)+IF(AF36=$I$36,3,0)+IF(AF37=$G36+$H36,1,0)+IF(AF38=$I$38,3,0)+IF(AF39=$G38+$H38,1,0)+IF(AF40=$I$40,3,0)+IF(AF41=$G40+$H40,1,0)+IF(AF42=$I$42,3,0)+IF(AF43=$G42+$H42,1,0)+IF(AF44=$I$44,3,0)+IF(AF45=$G44+$H44,1,0)+IF(AF46=$I$46,3,0)+IF(AF47=$G46+$H46,1,0)+IF(AF48=$I$48,3,0)+IF(AF49=$G48+$H48,1,0)+IF(AF50=$I$50,3,0)+IF(AF51=$G50+$H50,1,0)+IF(AF52=$I$52,3,0)+IF(AF53=$G52+$H52,1,0)+IF(AF54=$I$54,3,0)+IF(AF55=$G54+$H54,1,0)+IF(AF56=$I$56,3,0)+IF(AF57=$G56+$H56,1,0)+IF(AF58=$I$58,3,0)+IF(AF59=$G58+$H58,1,0)+IF(AF60=$I$60,3,0)+IF(AF61=$G60+$H60,1,0)+IF(AF62=$I$62,3,0)+IF(AF63=$G62+$H62,1,0)+IF(AF64=$I$64,3,0)+IF(AF65=$G64+$H64,1,0)+IF(AF66=$I$66,3,0)+IF(AF67=$G66+$H66,1,0)+IF(AF68=$I$68,3,0)+IF(AF69=$G68+$H68,1,0)+IF(AF70=$I$70,3,0)+IF(AF71=$G70+$H70,1,0)+IF(AF72=$I$72,3,0)+IF(AF73=$G72+$H72,1,0)+IF(AF74=$I$74,3,0)+IF(AF75=$G74+$H74,1,0)+IF(AF76=$I$76,3,0)+IF(AF77=$G76+$H76,1,0)+IF(AF78=$I$78,3,0)+IF(AF79=$G78+$H78,1,0))</f>
        <v>44</v>
      </c>
      <c r="AG4" s="73">
        <f>SUM(IF(AG8=$I$8,3,0)+IF(AG9=$G8+$H8,1,0)+IF(AG10=$I$10,3,0)+IF(AG11=$G10+$H10,1,0)+IF(AG12=$I$12,3,0)+IF(AG13=$G12+$H12,1,0)+IF(AG14=$I$14,3,0)+IF(AG15=$G14+$H14,1,0)
+IF(AG16=$I$16,3,0)+IF(AG17=$G16+$H16,1,0)+IF(AG18=$I$18,3,0)+IF(AG19=$G18+$H18,1,0)+IF(AG20=$I$20,3,0)+IF(AG21=$G20+$H20,1,0)+IF(AG22=$I$22,3,0)+IF(AG23=$G22+$H22,1,0)+IF(AG24=$I$24,3,0)+IF(AG25=$G24+$H24,1,0)+IF(AG26=$I$26,3,0)+IF(AG27=$G26+$H26,1,0)+IF(AG28=$I$28,3,0)+IF(AG29=$G28+$H28,1,0)+IF(AG30=$I$30,3,0)+IF(AG31=$G30+$H30,1,0)+IF(AG32=$I$32,3,0)+IF(AG33=$G32+$H32,1,0)+IF(AG34=$I$34,3,0)+IF(AG35=$G34+$H34,1,0)+IF(AG36=$I$36,3,0)+IF(AG37=$G36+$H36,1,0)+IF(AG38=$I$38,3,0)+IF(AG39=$G38+$H38,1,0)+IF(AG40=$I$40,3,0)+IF(AG41=$G40+$H40,1,0)+IF(AG42=$I$42,3,0)+IF(AG43=$G42+$H42,1,0)+IF(AG44=$I$44,3,0)+IF(AG45=$G44+$H44,1,0)+IF(AG46=$I$46,3,0)+IF(AG47=$G46+$H46,1,0)+IF(AG48=$I$48,3,0)+IF(AG49=$G48+$H48,1,0)+IF(AG50=$I$50,3,0)+IF(AG51=$G50+$H50,1,0)+IF(AG52=$I$52,3,0)+IF(AG53=$G52+$H52,1,0)+IF(AG54=$I$54,3,0)+IF(AG55=$G54+$H54,1,0)+IF(AG56=$I$56,3,0)+IF(AG57=$G56+$H56,1,0)+IF(AG58=$I$58,3,0)+IF(AG59=$G58+$H58,1,0)+IF(AG60=$I$60,3,0)+IF(AG61=$G60+$H60,1,0)+IF(AG62=$I$62,3,0)+IF(AG63=$G62+$H62,1,0)+IF(AG64=$I$64,3,0)+IF(AG65=$G64+$H64,1,0)+IF(AG66=$I$66,3,0)+IF(AG67=$G66+$H66,1,0)+IF(AG68=$I$68,3,0)+IF(AG69=$G68+$H68,1,0)+IF(AG70=$I$70,3,0)+IF(AG71=$G70+$H70,1,0)+IF(AG72=$I$72,3,0)+IF(AG73=$G72+$H72,1,0)+IF(AG74=$I$74,3,0)+IF(AG75=$G74+$H74,1,0)+IF(AG76=$I$76,3,0)+IF(AG77=$G76+$H76,1,0)+IF(AG78=$I$78,3,0)+IF(AG79=$G78+$H78,1,0))</f>
        <v>41</v>
      </c>
      <c r="AH4" s="73">
        <f>SUM(IF(AH8=$I$8,3,0)+IF(AH9=$G8+$H8,1,0)+IF(AH10=$I$10,3,0)+IF(AH11=$G10+$H10,1,0)+IF(AH12=$I$12,3,0)+IF(AH13=$G12+$H12,1,0)+IF(AH14=$I$14,3,0)+IF(AH15=$G14+$H14,1,0)
+IF(AH16=$I$16,3,0)+IF(AH17=$G16+$H16,1,0)+IF(AH18=$I$18,3,0)+IF(AH19=$G18+$H18,1,0)+IF(AH20=$I$20,3,0)+IF(AH21=$G20+$H20,1,0)+IF(AH22=$I$22,3,0)+IF(AH23=$G22+$H22,1,0)+IF(AH24=$I$24,3,0)+IF(AH25=$G24+$H24,1,0)+IF(AH26=$I$26,3,0)+IF(AH27=$G26+$H26,1,0)+IF(AH28=$I$28,3,0)+IF(AH29=$G28+$H28,1,0)+IF(AH30=$I$30,3,0)+IF(AH31=$G30+$H30,1,0)+IF(AH32=$I$32,3,0)+IF(AH33=$G32+$H32,1,0)+IF(AH34=$I$34,3,0)+IF(AH35=$G34+$H34,1,0)+IF(AH36=$I$36,3,0)+IF(AH37=$G36+$H36,1,0)+IF(AH38=$I$38,3,0)+IF(AH39=$G38+$H38,1,0)+IF(AH40=$I$40,3,0)+IF(AH41=$G40+$H40,1,0)+IF(AH42=$I$42,3,0)+IF(AH43=$G42+$H42,1,0)+IF(AH44=$I$44,3,0)+IF(AH45=$G44+$H44,1,0)+IF(AH46=$I$46,3,0)+IF(AH47=$G46+$H46,1,0)+IF(AH48=$I$48,3,0)+IF(AH49=$G48+$H48,1,0)+IF(AH50=$I$50,3,0)+IF(AH51=$G50+$H50,1,0)+IF(AH52=$I$52,3,0)+IF(AH53=$G52+$H52,1,0)+IF(AH54=$I$54,3,0)+IF(AH55=$G54+$H54,1,0)+IF(AH56=$I$56,3,0)+IF(AH57=$G56+$H56,1,0)+IF(AH58=$I$58,3,0)+IF(AH59=$G58+$H58,1,0)+IF(AH60=$I$60,3,0)+IF(AH61=$G60+$H60,1,0)+IF(AH62=$I$62,3,0)+IF(AH63=$G62+$H62,1,0)+IF(AH64=$I$64,3,0)+IF(AH65=$G64+$H64,1,0)+IF(AH66=$I$66,3,0)+IF(AH67=$G66+$H66,1,0)+IF(AH68=$I$68,3,0)+IF(AH69=$G68+$H68,1,0)+IF(AH70=$I$70,3,0)+IF(AH71=$G70+$H70,1,0)+IF(AH72=$I$72,3,0)+IF(AH73=$G72+$H72,1,0)+IF(AH74=$I$74,3,0)+IF(AH75=$G74+$H74,1,0)+IF(AH76=$I$76,3,0)+IF(AH77=$G76+$H76,1,0)+IF(AH78=$I$78,3,0)+IF(AH79=$G78+$H78,1,0))</f>
        <v>37</v>
      </c>
      <c r="AI4" s="73">
        <f>SUM(IF(AI8=$I$8,3,0)+IF(AI9=$G8+$H8,1,0)+IF(AI10=$I$10,3,0)+IF(AI11=$G10+$H10,1,0)+IF(AI12=$I$12,3,0)+IF(AI13=$G12+$H12,1,0)+IF(AI14=$I$14,3,0)+IF(AI15=$G14+$H14,1,0)
+IF(AI16=$I$16,3,0)+IF(AI17=$G16+$H16,1,0)+IF(AI18=$I$18,3,0)+IF(AI19=$G18+$H18,1,0)+IF(AI20=$I$20,3,0)+IF(AI21=$G20+$H20,1,0)+IF(AI22=$I$22,3,0)+IF(AI23=$G22+$H22,1,0)+IF(AI24=$I$24,3,0)+IF(AI25=$G24+$H24,1,0)+IF(AI26=$I$26,3,0)+IF(AI27=$G26+$H26,1,0)+IF(AI28=$I$28,3,0)+IF(AI29=$G28+$H28,1,0)+IF(AI30=$I$30,3,0)+IF(AI31=$G30+$H30,1,0)+IF(AI32=$I$32,3,0)+IF(AI33=$G32+$H32,1,0)+IF(AI34=$I$34,3,0)+IF(AI35=$G34+$H34,1,0)+IF(AI36=$I$36,3,0)+IF(AI37=$G36+$H36,1,0)+IF(AI38=$I$38,3,0)+IF(AI39=$G38+$H38,1,0)+IF(AI40=$I$40,3,0)+IF(AI41=$G40+$H40,1,0)+IF(AI42=$I$42,3,0)+IF(AI43=$G42+$H42,1,0)+IF(AI44=$I$44,3,0)+IF(AI45=$G44+$H44,1,0)+IF(AI46=$I$46,3,0)+IF(AI47=$G46+$H46,1,0)+IF(AI48=$I$48,3,0)+IF(AI49=$G48+$H48,1,0)+IF(AI50=$I$50,3,0)+IF(AI51=$G50+$H50,1,0)+IF(AI52=$I$52,3,0)+IF(AI53=$G52+$H52,1,0)+IF(AI54=$I$54,3,0)+IF(AI55=$G54+$H54,1,0)+IF(AI56=$I$56,3,0)+IF(AI57=$G56+$H56,1,0)+IF(AI58=$I$58,3,0)+IF(AI59=$G58+$H58,1,0)+IF(AI60=$I$60,3,0)+IF(AI61=$G60+$H60,1,0)+IF(AI62=$I$62,3,0)+IF(AI63=$G62+$H62,1,0)+IF(AI64=$I$64,3,0)+IF(AI65=$G64+$H64,1,0)+IF(AI66=$I$66,3,0)+IF(AI67=$G66+$H66,1,0)+IF(AI68=$I$68,3,0)+IF(AI69=$G68+$H68,1,0)+IF(AI70=$I$70,3,0)+IF(AI71=$G70+$H70,1,0)+IF(AI72=$I$72,3,0)+IF(AI73=$G72+$H72,1,0)+IF(AI74=$I$74,3,0)+IF(AI75=$G74+$H74,1,0)+IF(AI76=$I$76,3,0)+IF(AI77=$G76+$H76,1,0)+IF(AI78=$I$78,3,0)+IF(AI79=$G78+$H78,1,0))</f>
        <v>43</v>
      </c>
      <c r="AJ4" s="73">
        <f>SUM(IF(AJ8=$I$8,3,0)+IF(AJ9=$G8+$H8,1,0)+IF(AJ10=$I$10,3,0)+IF(AJ11=$G10+$H10,1,0)+IF(AJ12=$I$12,3,0)+IF(AJ13=$G12+$H12,1,0)+IF(AJ14=$I$14,3,0)+IF(AJ15=$G14+$H14,1,0)
+IF(AJ16=$I$16,3,0)+IF(AJ17=$G16+$H16,1,0)+IF(AJ18=$I$18,3,0)+IF(AJ19=$G18+$H18,1,0)+IF(AJ20=$I$20,3,0)+IF(AJ21=$G20+$H20,1,0)+IF(AJ22=$I$22,3,0)+IF(AJ23=$G22+$H22,1,0)+IF(AJ24=$I$24,3,0)+IF(AJ25=$G24+$H24,1,0)+IF(AJ26=$I$26,3,0)+IF(AJ27=$G26+$H26,1,0)+IF(AJ28=$I$28,3,0)+IF(AJ29=$G28+$H28,1,0)+IF(AJ30=$I$30,3,0)+IF(AJ31=$G30+$H30,1,0)+IF(AJ32=$I$32,3,0)+IF(AJ33=$G32+$H32,1,0)+IF(AJ34=$I$34,3,0)+IF(AJ35=$G34+$H34,1,0)+IF(AJ36=$I$36,3,0)+IF(AJ37=$G36+$H36,1,0)+IF(AJ38=$I$38,3,0)+IF(AJ39=$G38+$H38,1,0)+IF(AJ40=$I$40,3,0)+IF(AJ41=$G40+$H40,1,0)+IF(AJ42=$I$42,3,0)+IF(AJ43=$G42+$H42,1,0)+IF(AJ44=$I$44,3,0)+IF(AJ45=$G44+$H44,1,0)+IF(AJ46=$I$46,3,0)+IF(AJ47=$G46+$H46,1,0)+IF(AJ48=$I$48,3,0)+IF(AJ49=$G48+$H48,1,0)+IF(AJ50=$I$50,3,0)+IF(AJ51=$G50+$H50,1,0)+IF(AJ52=$I$52,3,0)+IF(AJ53=$G52+$H52,1,0)+IF(AJ54=$I$54,3,0)+IF(AJ55=$G54+$H54,1,0)+IF(AJ56=$I$56,3,0)+IF(AJ57=$G56+$H56,1,0)+IF(AJ58=$I$58,3,0)+IF(AJ59=$G58+$H58,1,0)+IF(AJ60=$I$60,3,0)+IF(AJ61=$G60+$H60,1,0)+IF(AJ62=$I$62,3,0)+IF(AJ63=$G62+$H62,1,0)+IF(AJ64=$I$64,3,0)+IF(AJ65=$G64+$H64,1,0)+IF(AJ66=$I$66,3,0)+IF(AJ67=$G66+$H66,1,0)+IF(AJ68=$I$68,3,0)+IF(AJ69=$G68+$H68,1,0)+IF(AJ70=$I$70,3,0)+IF(AJ71=$G70+$H70,1,0)+IF(AJ72=$I$72,3,0)+IF(AJ73=$G72+$H72,1,0)+IF(AJ74=$I$74,3,0)+IF(AJ75=$G74+$H74,1,0)+IF(AJ76=$I$76,3,0)+IF(AJ77=$G76+$H76,1,0)+IF(AJ78=$I$78,3,0)+IF(AJ79=$G78+$H78,1,0))</f>
        <v>37</v>
      </c>
      <c r="AK4" s="73">
        <f>SUM(IF(AK8=$I$8,3,0)+IF(AK9=$G8+$H8,1,0)+IF(AK10=$I$10,3,0)+IF(AK11=$G10+$H10,1,0)+IF(AK12=$I$12,3,0)+IF(AK13=$G12+$H12,1,0)+IF(AK14=$I$14,3,0)+IF(AK15=$G14+$H14,1,0)
+IF(AK16=$I$16,3,0)+IF(AK17=$G16+$H16,1,0)+IF(AK18=$I$18,3,0)+IF(AK19=$G18+$H18,1,0)+IF(AK20=$I$20,3,0)+IF(AK21=$G20+$H20,1,0)+IF(AK22=$I$22,3,0)+IF(AK23=$G22+$H22,1,0)+IF(AK24=$I$24,3,0)+IF(AK25=$G24+$H24,1,0)+IF(AK26=$I$26,3,0)+IF(AK27=$G26+$H26,1,0)+IF(AK28=$I$28,3,0)+IF(AK29=$G28+$H28,1,0)+IF(AK30=$I$30,3,0)+IF(AK31=$G30+$H30,1,0)+IF(AK32=$I$32,3,0)+IF(AK33=$G32+$H32,1,0)+IF(AK34=$I$34,3,0)+IF(AK35=$G34+$H34,1,0)+IF(AK36=$I$36,3,0)+IF(AK37=$G36+$H36,1,0)+IF(AK38=$I$38,3,0)+IF(AK39=$G38+$H38,1,0)+IF(AK40=$I$40,3,0)+IF(AK41=$G40+$H40,1,0)+IF(AK42=$I$42,3,0)+IF(AK43=$G42+$H42,1,0)+IF(AK44=$I$44,3,0)+IF(AK45=$G44+$H44,1,0)+IF(AK46=$I$46,3,0)+IF(AK47=$G46+$H46,1,0)+IF(AK48=$I$48,3,0)+IF(AK49=$G48+$H48,1,0)+IF(AK50=$I$50,3,0)+IF(AK51=$G50+$H50,1,0)+IF(AK52=$I$52,3,0)+IF(AK53=$G52+$H52,1,0)+IF(AK54=$I$54,3,0)+IF(AK55=$G54+$H54,1,0)+IF(AK56=$I$56,3,0)+IF(AK57=$G56+$H56,1,0)+IF(AK58=$I$58,3,0)+IF(AK59=$G58+$H58,1,0)+IF(AK60=$I$60,3,0)+IF(AK61=$G60+$H60,1,0)+IF(AK62=$I$62,3,0)+IF(AK63=$G62+$H62,1,0)+IF(AK64=$I$64,3,0)+IF(AK65=$G64+$H64,1,0)+IF(AK66=$I$66,3,0)+IF(AK67=$G66+$H66,1,0)+IF(AK68=$I$68,3,0)+IF(AK69=$G68+$H68,1,0)+IF(AK70=$I$70,3,0)+IF(AK71=$G70+$H70,1,0)+IF(AK72=$I$72,3,0)+IF(AK73=$G72+$H72,1,0)+IF(AK74=$I$74,3,0)+IF(AK75=$G74+$H74,1,0)+IF(AK76=$I$76,3,0)+IF(AK77=$G76+$H76,1,0)+IF(AK78=$I$78,3,0)+IF(AK79=$G78+$H78,1,0))</f>
        <v>40</v>
      </c>
      <c r="AL4" s="73">
        <f>SUM(IF(AL8=$I$8,3,0)+IF(AL9=$G8+$H8,1,0)+IF(AL10=$I$10,3,0)+IF(AL11=$G10+$H10,1,0)+IF(AL12=$I$12,3,0)+IF(AL13=$G12+$H12,1,0)+IF(AL14=$I$14,3,0)+IF(AL15=$G14+$H14,1,0)
+IF(AL16=$I$16,3,0)+IF(AL17=$G16+$H16,1,0)+IF(AL18=$I$18,3,0)+IF(AL19=$G18+$H18,1,0)+IF(AL20=$I$20,3,0)+IF(AL21=$G20+$H20,1,0)+IF(AL22=$I$22,3,0)+IF(AL23=$G22+$H22,1,0)+IF(AL24=$I$24,3,0)+IF(AL25=$G24+$H24,1,0)+IF(AL26=$I$26,3,0)+IF(AL27=$G26+$H26,1,0)+IF(AL28=$I$28,3,0)+IF(AL29=$G28+$H28,1,0)+IF(AL30=$I$30,3,0)+IF(AL31=$G30+$H30,1,0)+IF(AL32=$I$32,3,0)+IF(AL33=$G32+$H32,1,0)+IF(AL34=$I$34,3,0)+IF(AL35=$G34+$H34,1,0)+IF(AL36=$I$36,3,0)+IF(AL37=$G36+$H36,1,0)+IF(AL38=$I$38,3,0)+IF(AL39=$G38+$H38,1,0)+IF(AL40=$I$40,3,0)+IF(AL41=$G40+$H40,1,0)+IF(AL42=$I$42,3,0)+IF(AL43=$G42+$H42,1,0)+IF(AL44=$I$44,3,0)+IF(AL45=$G44+$H44,1,0)+IF(AL46=$I$46,3,0)+IF(AL47=$G46+$H46,1,0)+IF(AL48=$I$48,3,0)+IF(AL49=$G48+$H48,1,0)+IF(AL50=$I$50,3,0)+IF(AL51=$G50+$H50,1,0)+IF(AL52=$I$52,3,0)+IF(AL53=$G52+$H52,1,0)+IF(AL54=$I$54,3,0)+IF(AL55=$G54+$H54,1,0)+IF(AL56=$I$56,3,0)+IF(AL57=$G56+$H56,1,0)+IF(AL58=$I$58,3,0)+IF(AL59=$G58+$H58,1,0)+IF(AL60=$I$60,3,0)+IF(AL61=$G60+$H60,1,0)+IF(AL62=$I$62,3,0)+IF(AL63=$G62+$H62,1,0)+IF(AL64=$I$64,3,0)+IF(AL65=$G64+$H64,1,0)+IF(AL66=$I$66,3,0)+IF(AL67=$G66+$H66,1,0)+IF(AL68=$I$68,3,0)+IF(AL69=$G68+$H68,1,0)+IF(AL70=$I$70,3,0)+IF(AL71=$G70+$H70,1,0)+IF(AL72=$I$72,3,0)+IF(AL73=$G72+$H72,1,0)+IF(AL74=$I$74,3,0)+IF(AL75=$G74+$H74,1,0)+IF(AL76=$I$76,3,0)+IF(AL77=$G76+$H76,1,0)+IF(AL78=$I$78,3,0)+IF(AL79=$G78+$H78,1,0))</f>
        <v>37</v>
      </c>
      <c r="AM4" s="73">
        <f>SUM(IF(AM8=$I$8,3,0)+IF(AM9=$G8+$H8,1,0)+IF(AM10=$I$10,3,0)+IF(AM11=$G10+$H10,1,0)+IF(AM12=$I$12,3,0)+IF(AM13=$G12+$H12,1,0)+IF(AM14=$I$14,3,0)+IF(AM15=$G14+$H14,1,0)
+IF(AM16=$I$16,3,0)+IF(AM17=$G16+$H16,1,0)+IF(AM18=$I$18,3,0)+IF(AM19=$G18+$H18,1,0)+IF(AM20=$I$20,3,0)+IF(AM21=$G20+$H20,1,0)+IF(AM22=$I$22,3,0)+IF(AM23=$G22+$H22,1,0)+IF(AM24=$I$24,3,0)+IF(AM25=$G24+$H24,1,0)+IF(AM26=$I$26,3,0)+IF(AM27=$G26+$H26,1,0)+IF(AM28=$I$28,3,0)+IF(AM29=$G28+$H28,1,0)+IF(AM30=$I$30,3,0)+IF(AM31=$G30+$H30,1,0)+IF(AM32=$I$32,3,0)+IF(AM33=$G32+$H32,1,0)+IF(AM34=$I$34,3,0)+IF(AM35=$G34+$H34,1,0)+IF(AM36=$I$36,3,0)+IF(AM37=$G36+$H36,1,0)+IF(AM38=$I$38,3,0)+IF(AM39=$G38+$H38,1,0)+IF(AM40=$I$40,3,0)+IF(AM41=$G40+$H40,1,0)+IF(AM42=$I$42,3,0)+IF(AM43=$G42+$H42,1,0)+IF(AM44=$I$44,3,0)+IF(AM45=$G44+$H44,1,0)+IF(AM46=$I$46,3,0)+IF(AM47=$G46+$H46,1,0)+IF(AM48=$I$48,3,0)+IF(AM49=$G48+$H48,1,0)+IF(AM50=$I$50,3,0)+IF(AM51=$G50+$H50,1,0)+IF(AM52=$I$52,3,0)+IF(AM53=$G52+$H52,1,0)+IF(AM54=$I$54,3,0)+IF(AM55=$G54+$H54,1,0)+IF(AM56=$I$56,3,0)+IF(AM57=$G56+$H56,1,0)+IF(AM58=$I$58,3,0)+IF(AM59=$G58+$H58,1,0)+IF(AM60=$I$60,3,0)+IF(AM61=$G60+$H60,1,0)+IF(AM62=$I$62,3,0)+IF(AM63=$G62+$H62,1,0)+IF(AM64=$I$64,3,0)+IF(AM65=$G64+$H64,1,0)+IF(AM66=$I$66,3,0)+IF(AM67=$G66+$H66,1,0)+IF(AM68=$I$68,3,0)+IF(AM69=$G68+$H68,1,0)+IF(AM70=$I$70,3,0)+IF(AM71=$G70+$H70,1,0)+IF(AM72=$I$72,3,0)+IF(AM73=$G72+$H72,1,0)+IF(AM74=$I$74,3,0)+IF(AM75=$G74+$H74,1,0)+IF(AM76=$I$76,3,0)+IF(AM77=$G76+$H76,1,0)+IF(AM78=$I$78,3,0)+IF(AM79=$G78+$H78,1,0))</f>
        <v>40</v>
      </c>
      <c r="AN4" s="73">
        <f>SUM(IF(AN8=$I$8,3,0)+IF(AN9=$G8+$H8,1,0)+IF(AN10=$I$10,3,0)+IF(AN11=$G10+$H10,1,0)+IF(AN12=$I$12,3,0)+IF(AN13=$G12+$H12,1,0)+IF(AN14=$I$14,3,0)+IF(AN15=$G14+$H14,1,0)
+IF(AN16=$I$16,3,0)+IF(AN17=$G16+$H16,1,0)+IF(AN18=$I$18,3,0)+IF(AN19=$G18+$H18,1,0)+IF(AN20=$I$20,3,0)+IF(AN21=$G20+$H20,1,0)+IF(AN22=$I$22,3,0)+IF(AN23=$G22+$H22,1,0)+IF(AN24=$I$24,3,0)+IF(AN25=$G24+$H24,1,0)+IF(AN26=$I$26,3,0)+IF(AN27=$G26+$H26,1,0)+IF(AN28=$I$28,3,0)+IF(AN29=$G28+$H28,1,0)+IF(AN30=$I$30,3,0)+IF(AN31=$G30+$H30,1,0)+IF(AN32=$I$32,3,0)+IF(AN33=$G32+$H32,1,0)+IF(AN34=$I$34,3,0)+IF(AN35=$G34+$H34,1,0)+IF(AN36=$I$36,3,0)+IF(AN37=$G36+$H36,1,0)+IF(AN38=$I$38,3,0)+IF(AN39=$G38+$H38,1,0)+IF(AN40=$I$40,3,0)+IF(AN41=$G40+$H40,1,0)+IF(AN42=$I$42,3,0)+IF(AN43=$G42+$H42,1,0)+IF(AN44=$I$44,3,0)+IF(AN45=$G44+$H44,1,0)+IF(AN46=$I$46,3,0)+IF(AN47=$G46+$H46,1,0)+IF(AN48=$I$48,3,0)+IF(AN49=$G48+$H48,1,0)+IF(AN50=$I$50,3,0)+IF(AN51=$G50+$H50,1,0)+IF(AN52=$I$52,3,0)+IF(AN53=$G52+$H52,1,0)+IF(AN54=$I$54,3,0)+IF(AN55=$G54+$H54,1,0)+IF(AN56=$I$56,3,0)+IF(AN57=$G56+$H56,1,0)+IF(AN58=$I$58,3,0)+IF(AN59=$G58+$H58,1,0)+IF(AN60=$I$60,3,0)+IF(AN61=$G60+$H60,1,0)+IF(AN62=$I$62,3,0)+IF(AN63=$G62+$H62,1,0)+IF(AN64=$I$64,3,0)+IF(AN65=$G64+$H64,1,0)+IF(AN66=$I$66,3,0)+IF(AN67=$G66+$H66,1,0)+IF(AN68=$I$68,3,0)+IF(AN69=$G68+$H68,1,0)+IF(AN70=$I$70,3,0)+IF(AN71=$G70+$H70,1,0)+IF(AN72=$I$72,3,0)+IF(AN73=$G72+$H72,1,0)+IF(AN74=$I$74,3,0)+IF(AN75=$G74+$H74,1,0)+IF(AN76=$I$76,3,0)+IF(AN77=$G76+$H76,1,0)+IF(AN78=$I$78,3,0)+IF(AN79=$G78+$H78,1,0))</f>
        <v>39</v>
      </c>
      <c r="AO4" s="73">
        <f>SUM(IF(AO8=$I$8,3,0)+IF(AO9=$G8+$H8,1,0)+IF(AO10=$I$10,3,0)+IF(AO11=$G10+$H10,1,0)+IF(AO12=$I$12,3,0)+IF(AO13=$G12+$H12,1,0)+IF(AO14=$I$14,3,0)+IF(AO15=$G14+$H14,1,0)
+IF(AO16=$I$16,3,0)+IF(AO17=$G16+$H16,1,0)+IF(AO18=$I$18,3,0)+IF(AO19=$G18+$H18,1,0)+IF(AO20=$I$20,3,0)+IF(AO21=$G20+$H20,1,0)+IF(AO22=$I$22,3,0)+IF(AO23=$G22+$H22,1,0)+IF(AO24=$I$24,3,0)+IF(AO25=$G24+$H24,1,0)+IF(AO26=$I$26,3,0)+IF(AO27=$G26+$H26,1,0)+IF(AO28=$I$28,3,0)+IF(AO29=$G28+$H28,1,0)+IF(AO30=$I$30,3,0)+IF(AO31=$G30+$H30,1,0)+IF(AO32=$I$32,3,0)+IF(AO33=$G32+$H32,1,0)+IF(AO34=$I$34,3,0)+IF(AO35=$G34+$H34,1,0)+IF(AO36=$I$36,3,0)+IF(AO37=$G36+$H36,1,0)+IF(AO38=$I$38,3,0)+IF(AO39=$G38+$H38,1,0)+IF(AO40=$I$40,3,0)+IF(AO41=$G40+$H40,1,0)+IF(AO42=$I$42,3,0)+IF(AO43=$G42+$H42,1,0)+IF(AO44=$I$44,3,0)+IF(AO45=$G44+$H44,1,0)+IF(AO46=$I$46,3,0)+IF(AO47=$G46+$H46,1,0)+IF(AO48=$I$48,3,0)+IF(AO49=$G48+$H48,1,0)+IF(AO50=$I$50,3,0)+IF(AO51=$G50+$H50,1,0)+IF(AO52=$I$52,3,0)+IF(AO53=$G52+$H52,1,0)+IF(AO54=$I$54,3,0)+IF(AO55=$G54+$H54,1,0)+IF(AO56=$I$56,3,0)+IF(AO57=$G56+$H56,1,0)+IF(AO58=$I$58,3,0)+IF(AO59=$G58+$H58,1,0)+IF(AO60=$I$60,3,0)+IF(AO61=$G60+$H60,1,0)+IF(AO62=$I$62,3,0)+IF(AO63=$G62+$H62,1,0)+IF(AO64=$I$64,3,0)+IF(AO65=$G64+$H64,1,0)+IF(AO66=$I$66,3,0)+IF(AO67=$G66+$H66,1,0)+IF(AO68=$I$68,3,0)+IF(AO69=$G68+$H68,1,0)+IF(AO70=$I$70,3,0)+IF(AO71=$G70+$H70,1,0)+IF(AO72=$I$72,3,0)+IF(AO73=$G72+$H72,1,0)+IF(AO74=$I$74,3,0)+IF(AO75=$G74+$H74,1,0)+IF(AO76=$I$76,3,0)+IF(AO77=$G76+$H76,1,0)+IF(AO78=$I$78,3,0)+IF(AO79=$G78+$H78,1,0))</f>
        <v>36</v>
      </c>
      <c r="AP4" s="73">
        <f>SUM(IF(AP8=$I$8,3,0)+IF(AP9=$G8+$H8,1,0)+IF(AP10=$I$10,3,0)+IF(AP11=$G10+$H10,1,0)+IF(AP12=$I$12,3,0)+IF(AP13=$G12+$H12,1,0)+IF(AP14=$I$14,3,0)+IF(AP15=$G14+$H14,1,0)
+IF(AP16=$I$16,3,0)+IF(AP17=$G16+$H16,1,0)+IF(AP18=$I$18,3,0)+IF(AP19=$G18+$H18,1,0)+IF(AP20=$I$20,3,0)+IF(AP21=$G20+$H20,1,0)+IF(AP22=$I$22,3,0)+IF(AP23=$G22+$H22,1,0)+IF(AP24=$I$24,3,0)+IF(AP25=$G24+$H24,1,0)+IF(AP26=$I$26,3,0)+IF(AP27=$G26+$H26,1,0)+IF(AP28=$I$28,3,0)+IF(AP29=$G28+$H28,1,0)+IF(AP30=$I$30,3,0)+IF(AP31=$G30+$H30,1,0)+IF(AP32=$I$32,3,0)+IF(AP33=$G32+$H32,1,0)+IF(AP34=$I$34,3,0)+IF(AP35=$G34+$H34,1,0)+IF(AP36=$I$36,3,0)+IF(AP37=$G36+$H36,1,0)+IF(AP38=$I$38,3,0)+IF(AP39=$G38+$H38,1,0)+IF(AP40=$I$40,3,0)+IF(AP41=$G40+$H40,1,0)+IF(AP42=$I$42,3,0)+IF(AP43=$G42+$H42,1,0)+IF(AP44=$I$44,3,0)+IF(AP45=$G44+$H44,1,0)+IF(AP46=$I$46,3,0)+IF(AP47=$G46+$H46,1,0)+IF(AP48=$I$48,3,0)+IF(AP49=$G48+$H48,1,0)+IF(AP50=$I$50,3,0)+IF(AP51=$G50+$H50,1,0)+IF(AP52=$I$52,3,0)+IF(AP53=$G52+$H52,1,0)+IF(AP54=$I$54,3,0)+IF(AP55=$G54+$H54,1,0)+IF(AP56=$I$56,3,0)+IF(AP57=$G56+$H56,1,0)+IF(AP58=$I$58,3,0)+IF(AP59=$G58+$H58,1,0)+IF(AP60=$I$60,3,0)+IF(AP61=$G60+$H60,1,0)+IF(AP62=$I$62,3,0)+IF(AP63=$G62+$H62,1,0)+IF(AP64=$I$64,3,0)+IF(AP65=$G64+$H64,1,0)+IF(AP66=$I$66,3,0)+IF(AP67=$G66+$H66,1,0)+IF(AP68=$I$68,3,0)+IF(AP69=$G68+$H68,1,0)+IF(AP70=$I$70,3,0)+IF(AP71=$G70+$H70,1,0)+IF(AP72=$I$72,3,0)+IF(AP73=$G72+$H72,1,0)+IF(AP74=$I$74,3,0)+IF(AP75=$G74+$H74,1,0)+IF(AP76=$I$76,3,0)+IF(AP77=$G76+$H76,1,0)+IF(AP78=$I$78,3,0)+IF(AP79=$G78+$H78,1,0))</f>
        <v>39</v>
      </c>
      <c r="AQ4" s="73">
        <f>SUM(IF(AQ8=$I$8,3,0)+IF(AQ9=$G8+$H8,1,0)+IF(AQ10=$I$10,3,0)+IF(AQ11=$G10+$H10,1,0)+IF(AQ12=$I$12,3,0)+IF(AQ13=$G12+$H12,1,0)+IF(AQ14=$I$14,3,0)+IF(AQ15=$G14+$H14,1,0)
+IF(AQ16=$I$16,3,0)+IF(AQ17=$G16+$H16,1,0)+IF(AQ18=$I$18,3,0)+IF(AQ19=$G18+$H18,1,0)+IF(AQ20=$I$20,3,0)+IF(AQ21=$G20+$H20,1,0)+IF(AQ22=$I$22,3,0)+IF(AQ23=$G22+$H22,1,0)+IF(AQ24=$I$24,3,0)+IF(AQ25=$G24+$H24,1,0)+IF(AQ26=$I$26,3,0)+IF(AQ27=$G26+$H26,1,0)+IF(AQ28=$I$28,3,0)+IF(AQ29=$G28+$H28,1,0)+IF(AQ30=$I$30,3,0)+IF(AQ31=$G30+$H30,1,0)+IF(AQ32=$I$32,3,0)+IF(AQ33=$G32+$H32,1,0)+IF(AQ34=$I$34,3,0)+IF(AQ35=$G34+$H34,1,0)+IF(AQ36=$I$36,3,0)+IF(AQ37=$G36+$H36,1,0)+IF(AQ38=$I$38,3,0)+IF(AQ39=$G38+$H38,1,0)+IF(AQ40=$I$40,3,0)+IF(AQ41=$G40+$H40,1,0)+IF(AQ42=$I$42,3,0)+IF(AQ43=$G42+$H42,1,0)+IF(AQ44=$I$44,3,0)+IF(AQ45=$G44+$H44,1,0)+IF(AQ46=$I$46,3,0)+IF(AQ47=$G46+$H46,1,0)+IF(AQ48=$I$48,3,0)+IF(AQ49=$G48+$H48,1,0)+IF(AQ50=$I$50,3,0)+IF(AQ51=$G50+$H50,1,0)+IF(AQ52=$I$52,3,0)+IF(AQ53=$G52+$H52,1,0)+IF(AQ54=$I$54,3,0)+IF(AQ55=$G54+$H54,1,0)+IF(AQ56=$I$56,3,0)+IF(AQ57=$G56+$H56,1,0)+IF(AQ58=$I$58,3,0)+IF(AQ59=$G58+$H58,1,0)+IF(AQ60=$I$60,3,0)+IF(AQ61=$G60+$H60,1,0)+IF(AQ62=$I$62,3,0)+IF(AQ63=$G62+$H62,1,0)+IF(AQ64=$I$64,3,0)+IF(AQ65=$G64+$H64,1,0)+IF(AQ66=$I$66,3,0)+IF(AQ67=$G66+$H66,1,0)+IF(AQ68=$I$68,3,0)+IF(AQ69=$G68+$H68,1,0)+IF(AQ70=$I$70,3,0)+IF(AQ71=$G70+$H70,1,0)+IF(AQ72=$I$72,3,0)+IF(AQ73=$G72+$H72,1,0)+IF(AQ74=$I$74,3,0)+IF(AQ75=$G74+$H74,1,0)+IF(AQ76=$I$76,3,0)+IF(AQ77=$G76+$H76,1,0)+IF(AQ78=$I$78,3,0)+IF(AQ79=$G78+$H78,1,0))</f>
        <v>39</v>
      </c>
      <c r="AR4" s="73">
        <f>SUM(IF(AR8=$I$8,3,0)+IF(AR9=$G8+$H8,1,0)+IF(AR10=$I$10,3,0)+IF(AR11=$G10+$H10,1,0)+IF(AR12=$I$12,3,0)+IF(AR13=$G12+$H12,1,0)+IF(AR14=$I$14,3,0)+IF(AR15=$G14+$H14,1,0)
+IF(AR16=$I$16,3,0)+IF(AR17=$G16+$H16,1,0)+IF(AR18=$I$18,3,0)+IF(AR19=$G18+$H18,1,0)+IF(AR20=$I$20,3,0)+IF(AR21=$G20+$H20,1,0)+IF(AR22=$I$22,3,0)+IF(AR23=$G22+$H22,1,0)+IF(AR24=$I$24,3,0)+IF(AR25=$G24+$H24,1,0)+IF(AR26=$I$26,3,0)+IF(AR27=$G26+$H26,1,0)+IF(AR28=$I$28,3,0)+IF(AR29=$G28+$H28,1,0)+IF(AR30=$I$30,3,0)+IF(AR31=$G30+$H30,1,0)+IF(AR32=$I$32,3,0)+IF(AR33=$G32+$H32,1,0)+IF(AR34=$I$34,3,0)+IF(AR35=$G34+$H34,1,0)+IF(AR36=$I$36,3,0)+IF(AR37=$G36+$H36,1,0)+IF(AR38=$I$38,3,0)+IF(AR39=$G38+$H38,1,0)+IF(AR40=$I$40,3,0)+IF(AR41=$G40+$H40,1,0)+IF(AR42=$I$42,3,0)+IF(AR43=$G42+$H42,1,0)+IF(AR44=$I$44,3,0)+IF(AR45=$G44+$H44,1,0)+IF(AR46=$I$46,3,0)+IF(AR47=$G46+$H46,1,0)+IF(AR48=$I$48,3,0)+IF(AR49=$G48+$H48,1,0)+IF(AR50=$I$50,3,0)+IF(AR51=$G50+$H50,1,0)+IF(AR52=$I$52,3,0)+IF(AR53=$G52+$H52,1,0)+IF(AR54=$I$54,3,0)+IF(AR55=$G54+$H54,1,0)+IF(AR56=$I$56,3,0)+IF(AR57=$G56+$H56,1,0)+IF(AR58=$I$58,3,0)+IF(AR59=$G58+$H58,1,0)+IF(AR60=$I$60,3,0)+IF(AR61=$G60+$H60,1,0)+IF(AR62=$I$62,3,0)+IF(AR63=$G62+$H62,1,0)+IF(AR64=$I$64,3,0)+IF(AR65=$G64+$H64,1,0)+IF(AR66=$I$66,3,0)+IF(AR67=$G66+$H66,1,0)+IF(AR68=$I$68,3,0)+IF(AR69=$G68+$H68,1,0)+IF(AR70=$I$70,3,0)+IF(AR71=$G70+$H70,1,0)+IF(AR72=$I$72,3,0)+IF(AR73=$G72+$H72,1,0)+IF(AR74=$I$74,3,0)+IF(AR75=$G74+$H74,1,0)+IF(AR76=$I$76,3,0)+IF(AR77=$G76+$H76,1,0)+IF(AR78=$I$78,3,0)+IF(AR79=$G78+$H78,1,0))</f>
        <v>40</v>
      </c>
      <c r="AS4" s="73">
        <f>SUM(IF(AS8=$I$8,3,0)+IF(AS9=$G8+$H8,1,0)+IF(AS10=$I$10,3,0)+IF(AS11=$G10+$H10,1,0)+IF(AS12=$I$12,3,0)+IF(AS13=$G12+$H12,1,0)+IF(AS14=$I$14,3,0)+IF(AS15=$G14+$H14,1,0)
+IF(AS16=$I$16,3,0)+IF(AS17=$G16+$H16,1,0)+IF(AS18=$I$18,3,0)+IF(AS19=$G18+$H18,1,0)+IF(AS20=$I$20,3,0)+IF(AS21=$G20+$H20,1,0)+IF(AS22=$I$22,3,0)+IF(AS23=$G22+$H22,1,0)+IF(AS24=$I$24,3,0)+IF(AS25=$G24+$H24,1,0)+IF(AS26=$I$26,3,0)+IF(AS27=$G26+$H26,1,0)+IF(AS28=$I$28,3,0)+IF(AS29=$G28+$H28,1,0)+IF(AS30=$I$30,3,0)+IF(AS31=$G30+$H30,1,0)+IF(AS32=$I$32,3,0)+IF(AS33=$G32+$H32,1,0)+IF(AS34=$I$34,3,0)+IF(AS35=$G34+$H34,1,0)+IF(AS36=$I$36,3,0)+IF(AS37=$G36+$H36,1,0)+IF(AS38=$I$38,3,0)+IF(AS39=$G38+$H38,1,0)+IF(AS40=$I$40,3,0)+IF(AS41=$G40+$H40,1,0)+IF(AS42=$I$42,3,0)+IF(AS43=$G42+$H42,1,0)+IF(AS44=$I$44,3,0)+IF(AS45=$G44+$H44,1,0)+IF(AS46=$I$46,3,0)+IF(AS47=$G46+$H46,1,0)+IF(AS48=$I$48,3,0)+IF(AS49=$G48+$H48,1,0)+IF(AS50=$I$50,3,0)+IF(AS51=$G50+$H50,1,0)+IF(AS52=$I$52,3,0)+IF(AS53=$G52+$H52,1,0)+IF(AS54=$I$54,3,0)+IF(AS55=$G54+$H54,1,0)+IF(AS56=$I$56,3,0)+IF(AS57=$G56+$H56,1,0)+IF(AS58=$I$58,3,0)+IF(AS59=$G58+$H58,1,0)+IF(AS60=$I$60,3,0)+IF(AS61=$G60+$H60,1,0)+IF(AS62=$I$62,3,0)+IF(AS63=$G62+$H62,1,0)+IF(AS64=$I$64,3,0)+IF(AS65=$G64+$H64,1,0)+IF(AS66=$I$66,3,0)+IF(AS67=$G66+$H66,1,0)+IF(AS68=$I$68,3,0)+IF(AS69=$G68+$H68,1,0)+IF(AS70=$I$70,3,0)+IF(AS71=$G70+$H70,1,0)+IF(AS72=$I$72,3,0)+IF(AS73=$G72+$H72,1,0)+IF(AS74=$I$74,3,0)+IF(AS75=$G74+$H74,1,0)+IF(AS76=$I$76,3,0)+IF(AS77=$G76+$H76,1,0)+IF(AS78=$I$78,3,0)+IF(AS79=$G78+$H78,1,0))</f>
        <v>36</v>
      </c>
      <c r="AT4" s="78">
        <f>SUM(IF(AT8=$I$8,3,0)+IF(AT9=$G8+$H8,1,0)+IF(AT10=$I$10,3,0)+IF(AT11=$G10+$H10,1,0)+IF(AT12=$I$12,3,0)+IF(AT13=$G12+$H12,1,0)+IF(AT14=$I$14,3,0)+IF(AT15=$G14+$H14,1,0)
+IF(AT16=$I$16,3,0)+IF(AT17=$G16+$H16,1,0)+IF(AT18=$I$18,3,0)+IF(AT19=$G18+$H18,1,0)+IF(AT20=$I$20,3,0)+IF(AT21=$G20+$H20,1,0)+IF(AT22=$I$22,3,0)+IF(AT23=$G22+$H22,1,0)+IF(AT24=$I$24,3,0)+IF(AT25=$G24+$H24,1,0)+IF(AT26=$I$26,3,0)+IF(AT27=$G26+$H26,1,0)+IF(AT28=$I$28,3,0)+IF(AT29=$G28+$H28,1,0)+IF(AT30=$I$30,3,0)+IF(AT31=$G30+$H30,1,0)+IF(AT32=$I$32,3,0)+IF(AT33=$G32+$H32,1,0)+IF(AT34=$I$34,3,0)+IF(AT35=$G34+$H34,1,0)+IF(AT36=$I$36,3,0)+IF(AT37=$G36+$H36,1,0)+IF(AT38=$I$38,3,0)+IF(AT39=$G38+$H38,1,0)+IF(AT40=$I$40,3,0)+IF(AT41=$G40+$H40,1,0)+IF(AT42=$I$42,3,0)+IF(AT43=$G42+$H42,1,0)+IF(AT44=$I$44,3,0)+IF(AT45=$G44+$H44,1,0)+IF(AT46=$I$46,3,0)+IF(AT47=$G46+$H46,1,0)+IF(AT48=$I$48,3,0)+IF(AT49=$G48+$H48,1,0)+IF(AT50=$I$50,3,0)+IF(AT51=$G50+$H50,1,0)+IF(AT52=$I$52,3,0)+IF(AT53=$G52+$H52,1,0)+IF(AT54=$I$54,3,0)+IF(AT55=$G54+$H54,1,0)+IF(AT56=$I$56,3,0)+IF(AT57=$G56+$H56,1,0)+IF(AT58=$I$58,3,0)+IF(AT59=$G58+$H58,1,0)+IF(AT60=$I$60,3,0)+IF(AT61=$G60+$H60,1,0)+IF(AT62=$I$62,3,0)+IF(AT63=$G62+$H62,1,0)+IF(AT64=$I$64,3,0)+IF(AT65=$G64+$H64,1,0)+IF(AT66=$I$66,3,0)+IF(AT67=$G66+$H66,1,0)+IF(AT68=$I$68,3,0)+IF(AT69=$G68+$H68,1,0)+IF(AT70=$I$70,3,0)+IF(AT71=$G70+$H70,1,0)+IF(AT72=$I$72,3,0)+IF(AT73=$G72+$H72,1,0)+IF(AT74=$I$74,3,0)+IF(AT75=$G74+$H74,1,0)+IF(AT76=$I$76,3,0)+IF(AT77=$G76+$H76,1,0)+IF(AT78=$I$78,3,0)+IF(AT79=$G78+$H78,1,0))</f>
        <v>33</v>
      </c>
    </row>
    <row r="5" spans="1:54" ht="14.4" hidden="1" x14ac:dyDescent="0.3">
      <c r="A5" s="64"/>
      <c r="B5" s="64"/>
      <c r="C5" s="64"/>
      <c r="D5" s="64"/>
      <c r="E5" s="64"/>
      <c r="F5" s="64"/>
      <c r="G5" s="65"/>
      <c r="H5" s="65"/>
      <c r="I5" s="66"/>
      <c r="J5" s="74">
        <f>SUM(IF(J80=$I$80,3,0)+IF(J81=$G80+$H80,1,0)+IF(J82=$I$82,3,0)+IF(J83=$G82+$H82,1,0)+IF(J84=$I$84,3,0)+IF(J85=$G84+$H84,1,0)+IF(J86=$I$86,3,0)+IF(J87=$G86+$H86,1,0)+IF(J88=$I$88,3,0)+IF(J89=$G88+$H88,1,0)+IF(J90=$I$90,3,0)+IF(J91=$G90+$H90,1,0)+IF(J92=$I$92,3,0)+IF(J93=$G92+$H92,1,0)+IF(J94=$I$94,3,0)+IF(J95=$G94+$H94,1,0)+IF(J96=$I$96,3,0)+IF(J97=$G96+$H96,1,0)+IF(J98=$I$98,3,0)+IF(J99=$G98+$H98,1,0)+IF(J100=$I$100,3,0)+IF(J101=$G100+$H100,1,0)+IF(J102=$I$102,3,0)+IF(J103=$G102+$H102,1,0)+IF(J104=$I$104,3,0)+IF(J105=$G104+$H104,1,0)+IF(J106=$I$106,3,0)+IF(J107=$G106+$H106,1,0)+IF(J108=$I$108,3,0)+IF(J109=$G108+$H108,1,0)+IF(J110=$I$110,3,0)+IF(J111=$G110+$H110,1,0)+IF(J112=$I$112,3,0)+IF(J113=$G112+$H112,1,0)+IF(J114=$I$114,3,0)+IF(J115=$G114+$H114,1,0)+IF(J116=$I$116,3,0)+IF(J117=$G116+$H116,1,0)+IF(J118=$I$118,3,0)+IF(J119=$G118+$H118,1,0)+IF(J120=$I$120,3,0)+IF(J121=$G120+$H120,1,0)+IF(J122=$I$122,3,0)+IF(J123=$G122+$H122,1,0)+IF(J124=$I$124,3,0)+IF(J125=$G124+$H124,1,0)+IF(J126=$I$126,3,0)+IF(J127=$G126+$H126,1,0)+IF(J128=$I$128,3,0)+IF(J129=$G128+$H128,1,0)+IF(J130=$I$130,3,0)+IF(J131=$G130+$H130,1,0)+IF(J132=$I$132,3,0)+IF(J133=$G132+$H132,1,0)+IF(J134=$I$134,3,0)+IF(J135=$G134+$H134,1,0)+IF(J136=$I$136,3,0)+IF(J137=$G136+$H136,1,0)+IF(J138=$I$138,3,0)+IF(J139=$G138+$H138,1,0)+IF(J140=$I$140,3,0)+IF(J141=$G140+$H140,1,0)+IF(J142=$I$142,3,0)+IF(J143=$G142+$H142,1,0)+IF(J144=$I$144,3,0)+IF(J145=$G144+$H144,1,0)+IF(J146=$I$146,3,0)+IF(J147=$G146+$H146,1,0)+IF(J148=$I$148,3,0)+IF(J149=$G148+$H148,1,0)+IF(J150=$I$150,3,0)+IF(J151=$G150+$H150,1,0))</f>
        <v>27</v>
      </c>
      <c r="K5" s="75">
        <f>SUM(IF(K80=$I$80,3,0)+IF(K81=$G80+$H80,1,0)+IF(K82=$I$82,3,0)+IF(K83=$G82+$H82,1,0)+IF(K84=$I$84,3,0)+IF(K85=$G84+$H84,1,0)+IF(K86=$I$86,3,0)+IF(K87=$G86+$H86,1,0)+IF(K88=$I$88,3,0)+IF(K89=$G88+$H88,1,0)+IF(K90=$I$90,3,0)+IF(K91=$G90+$H90,1,0)+IF(K92=$I$92,3,0)+IF(K93=$G92+$H92,1,0)+IF(K94=$I$94,3,0)+IF(K95=$G94+$H94,1,0)+IF(K96=$I$96,3,0)+IF(K97=$G96+$H96,1,0)+IF(K98=$I$98,3,0)+IF(K99=$G98+$H98,1,0)+IF(K100=$I$100,3,0)+IF(K101=$G100+$H100,1,0)+IF(K102=$I$102,3,0)+IF(K103=$G102+$H102,1,0)+IF(K104=$I$104,3,0)+IF(K105=$G104+$H104,1,0)+IF(K106=$I$106,3,0)+IF(K107=$G106+$H106,1,0)+IF(K108=$I$108,3,0)+IF(K109=$G108+$H108,1,0)+IF(K110=$I$110,3,0)+IF(K111=$G110+$H110,1,0)+IF(K112=$I$112,3,0)+IF(K113=$G112+$H112,1,0)+IF(K114=$I$114,3,0)+IF(K115=$G114+$H114,1,0)+IF(K116=$I$116,3,0)+IF(K117=$G116+$H116,1,0)+IF(K118=$I$118,3,0)+IF(K119=$G118+$H118,1,0)+IF(K120=$I$120,3,0)+IF(K121=$G120+$H120,1,0)+IF(K122=$I$122,3,0)+IF(K123=$G122+$H122,1,0)+IF(K124=$I$124,3,0)+IF(K125=$G124+$H124,1,0)+IF(K126=$I$126,3,0)+IF(K127=$G126+$H126,1,0)+IF(K128=$I$128,3,0)+IF(K129=$G128+$H128,1,0)+IF(K130=$I$130,3,0)+IF(K131=$G130+$H130,1,0)+IF(K132=$I$132,3,0)+IF(K133=$G132+$H132,1,0)+IF(K134=$I$134,3,0)+IF(K135=$G134+$H134,1,0)+IF(K136=$I$136,3,0)+IF(K137=$G136+$H136,1,0)+IF(K138=$I$138,3,0)+IF(K139=$G138+$H138,1,0)+IF(K140=$I$140,3,0)+IF(K141=$G140+$H140,1,0)+IF(K142=$I$142,3,0)+IF(K143=$G142+$H142,1,0)+IF(K144=$I$144,3,0)+IF(K145=$G144+$H144,1,0)+IF(K146=$I$146,3,0)+IF(K147=$G146+$H146,1,0)+IF(K148=$I$148,3,0)+IF(K149=$G148+$H148,1,0)+IF(K150=$I$150,3,0)+IF(K151=$G150+$H150,1,0))</f>
        <v>23</v>
      </c>
      <c r="L5" s="75">
        <f>SUM(IF(L80=$I$80,3,0)+IF(L81=$G80+$H80,1,0)+IF(L82=$I$82,3,0)+IF(L83=$G82+$H82,1,0)+IF(L84=$I$84,3,0)+IF(L85=$G84+$H84,1,0)+IF(L86=$I$86,3,0)+IF(L87=$G86+$H86,1,0)+IF(L88=$I$88,3,0)+IF(L89=$G88+$H88,1,0)+IF(L90=$I$90,3,0)+IF(L91=$G90+$H90,1,0)+IF(L92=$I$92,3,0)+IF(L93=$G92+$H92,1,0)+IF(L94=$I$94,3,0)+IF(L95=$G94+$H94,1,0)+IF(L96=$I$96,3,0)+IF(L97=$G96+$H96,1,0)+IF(L98=$I$98,3,0)+IF(L99=$G98+$H98,1,0)+IF(L100=$I$100,3,0)+IF(L101=$G100+$H100,1,0)+IF(L102=$I$102,3,0)+IF(L103=$G102+$H102,1,0)+IF(L104=$I$104,3,0)+IF(L105=$G104+$H104,1,0)+IF(L106=$I$106,3,0)+IF(L107=$G106+$H106,1,0)+IF(L108=$I$108,3,0)+IF(L109=$G108+$H108,1,0)+IF(L110=$I$110,3,0)+IF(L111=$G110+$H110,1,0)+IF(L112=$I$112,3,0)+IF(L113=$G112+$H112,1,0)+IF(L114=$I$114,3,0)+IF(L115=$G114+$H114,1,0)+IF(L116=$I$116,3,0)+IF(L117=$G116+$H116,1,0)+IF(L118=$I$118,3,0)+IF(L119=$G118+$H118,1,0)+IF(L120=$I$120,3,0)+IF(L121=$G120+$H120,1,0)+IF(L122=$I$122,3,0)+IF(L123=$G122+$H122,1,0)+IF(L124=$I$124,3,0)+IF(L125=$G124+$H124,1,0)+IF(L126=$I$126,3,0)+IF(L127=$G126+$H126,1,0)+IF(L128=$I$128,3,0)+IF(L129=$G128+$H128,1,0)+IF(L130=$I$130,3,0)+IF(L131=$G130+$H130,1,0)+IF(L132=$I$132,3,0)+IF(L133=$G132+$H132,1,0)+IF(L134=$I$134,3,0)+IF(L135=$G134+$H134,1,0)+IF(L136=$I$136,3,0)+IF(L137=$G136+$H136,1,0)+IF(L138=$I$138,3,0)+IF(L139=$G138+$H138,1,0)+IF(L140=$I$140,3,0)+IF(L141=$G140+$H140,1,0)+IF(L142=$I$142,3,0)+IF(L143=$G142+$H142,1,0)+IF(L144=$I$144,3,0)+IF(L145=$G144+$H144,1,0)+IF(L146=$I$146,3,0)+IF(L147=$G146+$H146,1,0)+IF(L148=$I$148,3,0)+IF(L149=$G148+$H148,1,0)+IF(L150=$I$150,3,0)+IF(L151=$G150+$H150,1,0))</f>
        <v>20</v>
      </c>
      <c r="M5" s="75">
        <f>SUM(IF(M80=$I$80,3,0)+IF(M81=$G80+$H80,1,0)+IF(M82=$I$82,3,0)+IF(M83=$G82+$H82,1,0)+IF(M84=$I$84,3,0)+IF(M85=$G84+$H84,1,0)+IF(M86=$I$86,3,0)+IF(M87=$G86+$H86,1,0)+IF(M88=$I$88,3,0)+IF(M89=$G88+$H88,1,0)+IF(M90=$I$90,3,0)+IF(M91=$G90+$H90,1,0)+IF(M92=$I$92,3,0)+IF(M93=$G92+$H92,1,0)+IF(M94=$I$94,3,0)+IF(M95=$G94+$H94,1,0)+IF(M96=$I$96,3,0)+IF(M97=$G96+$H96,1,0)+IF(M98=$I$98,3,0)+IF(M99=$G98+$H98,1,0)+IF(M100=$I$100,3,0)+IF(M101=$G100+$H100,1,0)+IF(M102=$I$102,3,0)+IF(M103=$G102+$H102,1,0)+IF(M104=$I$104,3,0)+IF(M105=$G104+$H104,1,0)+IF(M106=$I$106,3,0)+IF(M107=$G106+$H106,1,0)+IF(M108=$I$108,3,0)+IF(M109=$G108+$H108,1,0)+IF(M110=$I$110,3,0)+IF(M111=$G110+$H110,1,0)+IF(M112=$I$112,3,0)+IF(M113=$G112+$H112,1,0)+IF(M114=$I$114,3,0)+IF(M115=$G114+$H114,1,0)+IF(M116=$I$116,3,0)+IF(M117=$G116+$H116,1,0)+IF(M118=$I$118,3,0)+IF(M119=$G118+$H118,1,0)+IF(M120=$I$120,3,0)+IF(M121=$G120+$H120,1,0)+IF(M122=$I$122,3,0)+IF(M123=$G122+$H122,1,0)+IF(M124=$I$124,3,0)+IF(M125=$G124+$H124,1,0)+IF(M126=$I$126,3,0)+IF(M127=$G126+$H126,1,0)+IF(M128=$I$128,3,0)+IF(M129=$G128+$H128,1,0)+IF(M130=$I$130,3,0)+IF(M131=$G130+$H130,1,0)+IF(M132=$I$132,3,0)+IF(M133=$G132+$H132,1,0)+IF(M134=$I$134,3,0)+IF(M135=$G134+$H134,1,0)+IF(M136=$I$136,3,0)+IF(M137=$G136+$H136,1,0)+IF(M138=$I$138,3,0)+IF(M139=$G138+$H138,1,0)+IF(M140=$I$140,3,0)+IF(M141=$G140+$H140,1,0)+IF(M142=$I$142,3,0)+IF(M143=$G142+$H142,1,0)+IF(M144=$I$144,3,0)+IF(M145=$G144+$H144,1,0)+IF(M146=$I$146,3,0)+IF(M147=$G146+$H146,1,0)+IF(M148=$I$148,3,0)+IF(M149=$G148+$H148,1,0)+IF(M150=$I$150,3,0)+IF(M151=$G150+$H150,1,0))</f>
        <v>22</v>
      </c>
      <c r="N5" s="75">
        <f>SUM(IF(N80=$I$80,3,0)+IF(N81=$G80+$H80,1,0)+IF(N82=$I$82,3,0)+IF(N83=$G82+$H82,1,0)+IF(N84=$I$84,3,0)+IF(N85=$G84+$H84,1,0)+IF(N86=$I$86,3,0)+IF(N87=$G86+$H86,1,0)+IF(N88=$I$88,3,0)+IF(N89=$G88+$H88,1,0)+IF(N90=$I$90,3,0)+IF(N91=$G90+$H90,1,0)+IF(N92=$I$92,3,0)+IF(N93=$G92+$H92,1,0)+IF(N94=$I$94,3,0)+IF(N95=$G94+$H94,1,0)+IF(N96=$I$96,3,0)+IF(N97=$G96+$H96,1,0)+IF(N98=$I$98,3,0)+IF(N99=$G98+$H98,1,0)+IF(N100=$I$100,3,0)+IF(N101=$G100+$H100,1,0)+IF(N102=$I$102,3,0)+IF(N103=$G102+$H102,1,0)+IF(N104=$I$104,3,0)+IF(N105=$G104+$H104,1,0)+IF(N106=$I$106,3,0)+IF(N107=$G106+$H106,1,0)+IF(N108=$I$108,3,0)+IF(N109=$G108+$H108,1,0)+IF(N110=$I$110,3,0)+IF(N111=$G110+$H110,1,0)+IF(N112=$I$112,3,0)+IF(N113=$G112+$H112,1,0)+IF(N114=$I$114,3,0)+IF(N115=$G114+$H114,1,0)+IF(N116=$I$116,3,0)+IF(N117=$G116+$H116,1,0)+IF(N118=$I$118,3,0)+IF(N119=$G118+$H118,1,0)+IF(N120=$I$120,3,0)+IF(N121=$G120+$H120,1,0)+IF(N122=$I$122,3,0)+IF(N123=$G122+$H122,1,0)+IF(N124=$I$124,3,0)+IF(N125=$G124+$H124,1,0)+IF(N126=$I$126,3,0)+IF(N127=$G126+$H126,1,0)+IF(N128=$I$128,3,0)+IF(N129=$G128+$H128,1,0)+IF(N130=$I$130,3,0)+IF(N131=$G130+$H130,1,0)+IF(N132=$I$132,3,0)+IF(N133=$G132+$H132,1,0)+IF(N134=$I$134,3,0)+IF(N135=$G134+$H134,1,0)+IF(N136=$I$136,3,0)+IF(N137=$G136+$H136,1,0)+IF(N138=$I$138,3,0)+IF(N139=$G138+$H138,1,0)+IF(N140=$I$140,3,0)+IF(N141=$G140+$H140,1,0)+IF(N142=$I$142,3,0)+IF(N143=$G142+$H142,1,0)+IF(N144=$I$144,3,0)+IF(N145=$G144+$H144,1,0)+IF(N146=$I$146,3,0)+IF(N147=$G146+$H146,1,0)+IF(N148=$I$148,3,0)+IF(N149=$G148+$H148,1,0)+IF(N150=$I$150,3,0)+IF(N151=$G150+$H150,1,0))</f>
        <v>25</v>
      </c>
      <c r="O5" s="75">
        <f>SUM(IF(O80=$I$80,3,0)+IF(O81=$G80+$H80,1,0)+IF(O82=$I$82,3,0)+IF(O83=$G82+$H82,1,0)+IF(O84=$I$84,3,0)+IF(O85=$G84+$H84,1,0)+IF(O86=$I$86,3,0)+IF(O87=$G86+$H86,1,0)+IF(O88=$I$88,3,0)+IF(O89=$G88+$H88,1,0)+IF(O90=$I$90,3,0)+IF(O91=$G90+$H90,1,0)+IF(O92=$I$92,3,0)+IF(O93=$G92+$H92,1,0)+IF(O94=$I$94,3,0)+IF(O95=$G94+$H94,1,0)+IF(O96=$I$96,3,0)+IF(O97=$G96+$H96,1,0)+IF(O98=$I$98,3,0)+IF(O99=$G98+$H98,1,0)+IF(O100=$I$100,3,0)+IF(O101=$G100+$H100,1,0)+IF(O102=$I$102,3,0)+IF(O103=$G102+$H102,1,0)+IF(O104=$I$104,3,0)+IF(O105=$G104+$H104,1,0)+IF(O106=$I$106,3,0)+IF(O107=$G106+$H106,1,0)+IF(O108=$I$108,3,0)+IF(O109=$G108+$H108,1,0)+IF(O110=$I$110,3,0)+IF(O111=$G110+$H110,1,0)+IF(O112=$I$112,3,0)+IF(O113=$G112+$H112,1,0)+IF(O114=$I$114,3,0)+IF(O115=$G114+$H114,1,0)+IF(O116=$I$116,3,0)+IF(O117=$G116+$H116,1,0)+IF(O118=$I$118,3,0)+IF(O119=$G118+$H118,1,0)+IF(O120=$I$120,3,0)+IF(O121=$G120+$H120,1,0)+IF(O122=$I$122,3,0)+IF(O123=$G122+$H122,1,0)+IF(O124=$I$124,3,0)+IF(O125=$G124+$H124,1,0)+IF(O126=$I$126,3,0)+IF(O127=$G126+$H126,1,0)+IF(O128=$I$128,3,0)+IF(O129=$G128+$H128,1,0)+IF(O130=$I$130,3,0)+IF(O131=$G130+$H130,1,0)+IF(O132=$I$132,3,0)+IF(O133=$G132+$H132,1,0)+IF(O134=$I$134,3,0)+IF(O135=$G134+$H134,1,0)+IF(O136=$I$136,3,0)+IF(O137=$G136+$H136,1,0)+IF(O138=$I$138,3,0)+IF(O139=$G138+$H138,1,0)+IF(O140=$I$140,3,0)+IF(O141=$G140+$H140,1,0)+IF(O142=$I$142,3,0)+IF(O143=$G142+$H142,1,0)+IF(O144=$I$144,3,0)+IF(O145=$G144+$H144,1,0)+IF(O146=$I$146,3,0)+IF(O147=$G146+$H146,1,0)+IF(O148=$I$148,3,0)+IF(O149=$G148+$H148,1,0)+IF(O150=$I$150,3,0)+IF(O151=$G150+$H150,1,0))</f>
        <v>26</v>
      </c>
      <c r="P5" s="75">
        <f>SUM(IF(P80=$I$80,3,0)+IF(P81=$G80+$H80,1,0)+IF(P82=$I$82,3,0)+IF(P83=$G82+$H82,1,0)+IF(P84=$I$84,3,0)+IF(P85=$G84+$H84,1,0)+IF(P86=$I$86,3,0)+IF(P87=$G86+$H86,1,0)+IF(P88=$I$88,3,0)+IF(P89=$G88+$H88,1,0)+IF(P90=$I$90,3,0)+IF(P91=$G90+$H90,1,0)+IF(P92=$I$92,3,0)+IF(P93=$G92+$H92,1,0)+IF(P94=$I$94,3,0)+IF(P95=$G94+$H94,1,0)+IF(P96=$I$96,3,0)+IF(P97=$G96+$H96,1,0)+IF(P98=$I$98,3,0)+IF(P99=$G98+$H98,1,0)+IF(P100=$I$100,3,0)+IF(P101=$G100+$H100,1,0)+IF(P102=$I$102,3,0)+IF(P103=$G102+$H102,1,0)+IF(P104=$I$104,3,0)+IF(P105=$G104+$H104,1,0)+IF(P106=$I$106,3,0)+IF(P107=$G106+$H106,1,0)+IF(P108=$I$108,3,0)+IF(P109=$G108+$H108,1,0)+IF(P110=$I$110,3,0)+IF(P111=$G110+$H110,1,0)+IF(P112=$I$112,3,0)+IF(P113=$G112+$H112,1,0)+IF(P114=$I$114,3,0)+IF(P115=$G114+$H114,1,0)+IF(P116=$I$116,3,0)+IF(P117=$G116+$H116,1,0)+IF(P118=$I$118,3,0)+IF(P119=$G118+$H118,1,0)+IF(P120=$I$120,3,0)+IF(P121=$G120+$H120,1,0)+IF(P122=$I$122,3,0)+IF(P123=$G122+$H122,1,0)+IF(P124=$I$124,3,0)+IF(P125=$G124+$H124,1,0)+IF(P126=$I$126,3,0)+IF(P127=$G126+$H126,1,0)+IF(P128=$I$128,3,0)+IF(P129=$G128+$H128,1,0)+IF(P130=$I$130,3,0)+IF(P131=$G130+$H130,1,0)+IF(P132=$I$132,3,0)+IF(P133=$G132+$H132,1,0)+IF(P134=$I$134,3,0)+IF(P135=$G134+$H134,1,0)+IF(P136=$I$136,3,0)+IF(P137=$G136+$H136,1,0)+IF(P138=$I$138,3,0)+IF(P139=$G138+$H138,1,0)+IF(P140=$I$140,3,0)+IF(P141=$G140+$H140,1,0)+IF(P142=$I$142,3,0)+IF(P143=$G142+$H142,1,0)+IF(P144=$I$144,3,0)+IF(P145=$G144+$H144,1,0)+IF(P146=$I$146,3,0)+IF(P147=$G146+$H146,1,0)+IF(P148=$I$148,3,0)+IF(P149=$G148+$H148,1,0)+IF(P150=$I$150,3,0)+IF(P151=$G150+$H150,1,0))</f>
        <v>26</v>
      </c>
      <c r="Q5" s="75">
        <f>SUM(IF(Q80=$I$80,3,0)+IF(Q81=$G80+$H80,1,0)+IF(Q82=$I$82,3,0)+IF(Q83=$G82+$H82,1,0)+IF(Q84=$I$84,3,0)+IF(Q85=$G84+$H84,1,0)+IF(Q86=$I$86,3,0)+IF(Q87=$G86+$H86,1,0)+IF(Q88=$I$88,3,0)+IF(Q89=$G88+$H88,1,0)+IF(Q90=$I$90,3,0)+IF(Q91=$G90+$H90,1,0)+IF(Q92=$I$92,3,0)+IF(Q93=$G92+$H92,1,0)+IF(Q94=$I$94,3,0)+IF(Q95=$G94+$H94,1,0)+IF(Q96=$I$96,3,0)+IF(Q97=$G96+$H96,1,0)+IF(Q98=$I$98,3,0)+IF(Q99=$G98+$H98,1,0)+IF(Q100=$I$100,3,0)+IF(Q101=$G100+$H100,1,0)+IF(Q102=$I$102,3,0)+IF(Q103=$G102+$H102,1,0)+IF(Q104=$I$104,3,0)+IF(Q105=$G104+$H104,1,0)+IF(Q106=$I$106,3,0)+IF(Q107=$G106+$H106,1,0)+IF(Q108=$I$108,3,0)+IF(Q109=$G108+$H108,1,0)+IF(Q110=$I$110,3,0)+IF(Q111=$G110+$H110,1,0)+IF(Q112=$I$112,3,0)+IF(Q113=$G112+$H112,1,0)+IF(Q114=$I$114,3,0)+IF(Q115=$G114+$H114,1,0)+IF(Q116=$I$116,3,0)+IF(Q117=$G116+$H116,1,0)+IF(Q118=$I$118,3,0)+IF(Q119=$G118+$H118,1,0)+IF(Q120=$I$120,3,0)+IF(Q121=$G120+$H120,1,0)+IF(Q122=$I$122,3,0)+IF(Q123=$G122+$H122,1,0)+IF(Q124=$I$124,3,0)+IF(Q125=$G124+$H124,1,0)+IF(Q126=$I$126,3,0)+IF(Q127=$G126+$H126,1,0)+IF(Q128=$I$128,3,0)+IF(Q129=$G128+$H128,1,0)+IF(Q130=$I$130,3,0)+IF(Q131=$G130+$H130,1,0)+IF(Q132=$I$132,3,0)+IF(Q133=$G132+$H132,1,0)+IF(Q134=$I$134,3,0)+IF(Q135=$G134+$H134,1,0)+IF(Q136=$I$136,3,0)+IF(Q137=$G136+$H136,1,0)+IF(Q138=$I$138,3,0)+IF(Q139=$G138+$H138,1,0)+IF(Q140=$I$140,3,0)+IF(Q141=$G140+$H140,1,0)+IF(Q142=$I$142,3,0)+IF(Q143=$G142+$H142,1,0)+IF(Q144=$I$144,3,0)+IF(Q145=$G144+$H144,1,0)+IF(Q146=$I$146,3,0)+IF(Q147=$G146+$H146,1,0)+IF(Q148=$I$148,3,0)+IF(Q149=$G148+$H148,1,0)+IF(Q150=$I$150,3,0)+IF(Q151=$G150+$H150,1,0))</f>
        <v>25</v>
      </c>
      <c r="R5" s="75">
        <f>SUM(IF(R80=$I$80,3,0)+IF(R81=$G80+$H80,1,0)+IF(R82=$I$82,3,0)+IF(R83=$G82+$H82,1,0)+IF(R84=$I$84,3,0)+IF(R85=$G84+$H84,1,0)+IF(R86=$I$86,3,0)+IF(R87=$G86+$H86,1,0)+IF(R88=$I$88,3,0)+IF(R89=$G88+$H88,1,0)+IF(R90=$I$90,3,0)+IF(R91=$G90+$H90,1,0)+IF(R92=$I$92,3,0)+IF(R93=$G92+$H92,1,0)+IF(R94=$I$94,3,0)+IF(R95=$G94+$H94,1,0)+IF(R96=$I$96,3,0)+IF(R97=$G96+$H96,1,0)+IF(R98=$I$98,3,0)+IF(R99=$G98+$H98,1,0)+IF(R100=$I$100,3,0)+IF(R101=$G100+$H100,1,0)+IF(R102=$I$102,3,0)+IF(R103=$G102+$H102,1,0)+IF(R104=$I$104,3,0)+IF(R105=$G104+$H104,1,0)+IF(R106=$I$106,3,0)+IF(R107=$G106+$H106,1,0)+IF(R108=$I$108,3,0)+IF(R109=$G108+$H108,1,0)+IF(R110=$I$110,3,0)+IF(R111=$G110+$H110,1,0)+IF(R112=$I$112,3,0)+IF(R113=$G112+$H112,1,0)+IF(R114=$I$114,3,0)+IF(R115=$G114+$H114,1,0)+IF(R116=$I$116,3,0)+IF(R117=$G116+$H116,1,0)+IF(R118=$I$118,3,0)+IF(R119=$G118+$H118,1,0)+IF(R120=$I$120,3,0)+IF(R121=$G120+$H120,1,0)+IF(R122=$I$122,3,0)+IF(R123=$G122+$H122,1,0)+IF(R124=$I$124,3,0)+IF(R125=$G124+$H124,1,0)+IF(R126=$I$126,3,0)+IF(R127=$G126+$H126,1,0)+IF(R128=$I$128,3,0)+IF(R129=$G128+$H128,1,0)+IF(R130=$I$130,3,0)+IF(R131=$G130+$H130,1,0)+IF(R132=$I$132,3,0)+IF(R133=$G132+$H132,1,0)+IF(R134=$I$134,3,0)+IF(R135=$G134+$H134,1,0)+IF(R136=$I$136,3,0)+IF(R137=$G136+$H136,1,0)+IF(R138=$I$138,3,0)+IF(R139=$G138+$H138,1,0)+IF(R140=$I$140,3,0)+IF(R141=$G140+$H140,1,0)+IF(R142=$I$142,3,0)+IF(R143=$G142+$H142,1,0)+IF(R144=$I$144,3,0)+IF(R145=$G144+$H144,1,0)+IF(R146=$I$146,3,0)+IF(R147=$G146+$H146,1,0)+IF(R148=$I$148,3,0)+IF(R149=$G148+$H148,1,0)+IF(R150=$I$150,3,0)+IF(R151=$G150+$H150,1,0))</f>
        <v>22</v>
      </c>
      <c r="S5" s="75">
        <f>SUM(IF(S80=$I$80,3,0)+IF(S81=$G80+$H80,1,0)+IF(S82=$I$82,3,0)+IF(S83=$G82+$H82,1,0)+IF(S84=$I$84,3,0)+IF(S85=$G84+$H84,1,0)+IF(S86=$I$86,3,0)+IF(S87=$G86+$H86,1,0)+IF(S88=$I$88,3,0)+IF(S89=$G88+$H88,1,0)+IF(S90=$I$90,3,0)+IF(S91=$G90+$H90,1,0)+IF(S92=$I$92,3,0)+IF(S93=$G92+$H92,1,0)+IF(S94=$I$94,3,0)+IF(S95=$G94+$H94,1,0)+IF(S96=$I$96,3,0)+IF(S97=$G96+$H96,1,0)+IF(S98=$I$98,3,0)+IF(S99=$G98+$H98,1,0)+IF(S100=$I$100,3,0)+IF(S101=$G100+$H100,1,0)+IF(S102=$I$102,3,0)+IF(S103=$G102+$H102,1,0)+IF(S104=$I$104,3,0)+IF(S105=$G104+$H104,1,0)+IF(S106=$I$106,3,0)+IF(S107=$G106+$H106,1,0)+IF(S108=$I$108,3,0)+IF(S109=$G108+$H108,1,0)+IF(S110=$I$110,3,0)+IF(S111=$G110+$H110,1,0)+IF(S112=$I$112,3,0)+IF(S113=$G112+$H112,1,0)+IF(S114=$I$114,3,0)+IF(S115=$G114+$H114,1,0)+IF(S116=$I$116,3,0)+IF(S117=$G116+$H116,1,0)+IF(S118=$I$118,3,0)+IF(S119=$G118+$H118,1,0)+IF(S120=$I$120,3,0)+IF(S121=$G120+$H120,1,0)+IF(S122=$I$122,3,0)+IF(S123=$G122+$H122,1,0)+IF(S124=$I$124,3,0)+IF(S125=$G124+$H124,1,0)+IF(S126=$I$126,3,0)+IF(S127=$G126+$H126,1,0)+IF(S128=$I$128,3,0)+IF(S129=$G128+$H128,1,0)+IF(S130=$I$130,3,0)+IF(S131=$G130+$H130,1,0)+IF(S132=$I$132,3,0)+IF(S133=$G132+$H132,1,0)+IF(S134=$I$134,3,0)+IF(S135=$G134+$H134,1,0)+IF(S136=$I$136,3,0)+IF(S137=$G136+$H136,1,0)+IF(S138=$I$138,3,0)+IF(S139=$G138+$H138,1,0)+IF(S140=$I$140,3,0)+IF(S141=$G140+$H140,1,0)+IF(S142=$I$142,3,0)+IF(S143=$G142+$H142,1,0)+IF(S144=$I$144,3,0)+IF(S145=$G144+$H144,1,0)+IF(S146=$I$146,3,0)+IF(S147=$G146+$H146,1,0)+IF(S148=$I$148,3,0)+IF(S149=$G148+$H148,1,0)+IF(S150=$I$150,3,0)+IF(S151=$G150+$H150,1,0))</f>
        <v>22</v>
      </c>
      <c r="T5" s="75">
        <f>SUM(IF(T80=$I$80,3,0)+IF(T81=$G80+$H80,1,0)+IF(T82=$I$82,3,0)+IF(T83=$G82+$H82,1,0)+IF(T84=$I$84,3,0)+IF(T85=$G84+$H84,1,0)+IF(T86=$I$86,3,0)+IF(T87=$G86+$H86,1,0)+IF(T88=$I$88,3,0)+IF(T89=$G88+$H88,1,0)+IF(T90=$I$90,3,0)+IF(T91=$G90+$H90,1,0)+IF(T92=$I$92,3,0)+IF(T93=$G92+$H92,1,0)+IF(T94=$I$94,3,0)+IF(T95=$G94+$H94,1,0)+IF(T96=$I$96,3,0)+IF(T97=$G96+$H96,1,0)+IF(T98=$I$98,3,0)+IF(T99=$G98+$H98,1,0)+IF(T100=$I$100,3,0)+IF(T101=$G100+$H100,1,0)+IF(T102=$I$102,3,0)+IF(T103=$G102+$H102,1,0)+IF(T104=$I$104,3,0)+IF(T105=$G104+$H104,1,0)+IF(T106=$I$106,3,0)+IF(T107=$G106+$H106,1,0)+IF(T108=$I$108,3,0)+IF(T109=$G108+$H108,1,0)+IF(T110=$I$110,3,0)+IF(T111=$G110+$H110,1,0)+IF(T112=$I$112,3,0)+IF(T113=$G112+$H112,1,0)+IF(T114=$I$114,3,0)+IF(T115=$G114+$H114,1,0)+IF(T116=$I$116,3,0)+IF(T117=$G116+$H116,1,0)+IF(T118=$I$118,3,0)+IF(T119=$G118+$H118,1,0)+IF(T120=$I$120,3,0)+IF(T121=$G120+$H120,1,0)+IF(T122=$I$122,3,0)+IF(T123=$G122+$H122,1,0)+IF(T124=$I$124,3,0)+IF(T125=$G124+$H124,1,0)+IF(T126=$I$126,3,0)+IF(T127=$G126+$H126,1,0)+IF(T128=$I$128,3,0)+IF(T129=$G128+$H128,1,0)+IF(T130=$I$130,3,0)+IF(T131=$G130+$H130,1,0)+IF(T132=$I$132,3,0)+IF(T133=$G132+$H132,1,0)+IF(T134=$I$134,3,0)+IF(T135=$G134+$H134,1,0)+IF(T136=$I$136,3,0)+IF(T137=$G136+$H136,1,0)+IF(T138=$I$138,3,0)+IF(T139=$G138+$H138,1,0)+IF(T140=$I$140,3,0)+IF(T141=$G140+$H140,1,0)+IF(T142=$I$142,3,0)+IF(T143=$G142+$H142,1,0)+IF(T144=$I$144,3,0)+IF(T145=$G144+$H144,1,0)+IF(T146=$I$146,3,0)+IF(T147=$G146+$H146,1,0)+IF(T148=$I$148,3,0)+IF(T149=$G148+$H148,1,0)+IF(T150=$I$150,3,0)+IF(T151=$G150+$H150,1,0))</f>
        <v>20</v>
      </c>
      <c r="U5" s="75">
        <f>SUM(IF(U80=$I$80,3,0)+IF(U81=$G80+$H80,1,0)+IF(U82=$I$82,3,0)+IF(U83=$G82+$H82,1,0)+IF(U84=$I$84,3,0)+IF(U85=$G84+$H84,1,0)+IF(U86=$I$86,3,0)+IF(U87=$G86+$H86,1,0)+IF(U88=$I$88,3,0)+IF(U89=$G88+$H88,1,0)+IF(U90=$I$90,3,0)+IF(U91=$G90+$H90,1,0)+IF(U92=$I$92,3,0)+IF(U93=$G92+$H92,1,0)+IF(U94=$I$94,3,0)+IF(U95=$G94+$H94,1,0)+IF(U96=$I$96,3,0)+IF(U97=$G96+$H96,1,0)+IF(U98=$I$98,3,0)+IF(U99=$G98+$H98,1,0)+IF(U100=$I$100,3,0)+IF(U101=$G100+$H100,1,0)+IF(U102=$I$102,3,0)+IF(U103=$G102+$H102,1,0)+IF(U104=$I$104,3,0)+IF(U105=$G104+$H104,1,0)+IF(U106=$I$106,3,0)+IF(U107=$G106+$H106,1,0)+IF(U108=$I$108,3,0)+IF(U109=$G108+$H108,1,0)+IF(U110=$I$110,3,0)+IF(U111=$G110+$H110,1,0)+IF(U112=$I$112,3,0)+IF(U113=$G112+$H112,1,0)+IF(U114=$I$114,3,0)+IF(U115=$G114+$H114,1,0)+IF(U116=$I$116,3,0)+IF(U117=$G116+$H116,1,0)+IF(U118=$I$118,3,0)+IF(U119=$G118+$H118,1,0)+IF(U120=$I$120,3,0)+IF(U121=$G120+$H120,1,0)+IF(U122=$I$122,3,0)+IF(U123=$G122+$H122,1,0)+IF(U124=$I$124,3,0)+IF(U125=$G124+$H124,1,0)+IF(U126=$I$126,3,0)+IF(U127=$G126+$H126,1,0)+IF(U128=$I$128,3,0)+IF(U129=$G128+$H128,1,0)+IF(U130=$I$130,3,0)+IF(U131=$G130+$H130,1,0)+IF(U132=$I$132,3,0)+IF(U133=$G132+$H132,1,0)+IF(U134=$I$134,3,0)+IF(U135=$G134+$H134,1,0)+IF(U136=$I$136,3,0)+IF(U137=$G136+$H136,1,0)+IF(U138=$I$138,3,0)+IF(U139=$G138+$H138,1,0)+IF(U140=$I$140,3,0)+IF(U141=$G140+$H140,1,0)+IF(U142=$I$142,3,0)+IF(U143=$G142+$H142,1,0)+IF(U144=$I$144,3,0)+IF(U145=$G144+$H144,1,0)+IF(U146=$I$146,3,0)+IF(U147=$G146+$H146,1,0)+IF(U148=$I$148,3,0)+IF(U149=$G148+$H148,1,0)+IF(U150=$I$150,3,0)+IF(U151=$G150+$H150,1,0))</f>
        <v>21</v>
      </c>
      <c r="V5" s="75">
        <f>SUM(IF(V80=$I$80,3,0)+IF(V81=$G80+$H80,1,0)+IF(V82=$I$82,3,0)+IF(V83=$G82+$H82,1,0)+IF(V84=$I$84,3,0)+IF(V85=$G84+$H84,1,0)+IF(V86=$I$86,3,0)+IF(V87=$G86+$H86,1,0)+IF(V88=$I$88,3,0)+IF(V89=$G88+$H88,1,0)+IF(V90=$I$90,3,0)+IF(V91=$G90+$H90,1,0)+IF(V92=$I$92,3,0)+IF(V93=$G92+$H92,1,0)+IF(V94=$I$94,3,0)+IF(V95=$G94+$H94,1,0)+IF(V96=$I$96,3,0)+IF(V97=$G96+$H96,1,0)+IF(V98=$I$98,3,0)+IF(V99=$G98+$H98,1,0)+IF(V100=$I$100,3,0)+IF(V101=$G100+$H100,1,0)+IF(V102=$I$102,3,0)+IF(V103=$G102+$H102,1,0)+IF(V104=$I$104,3,0)+IF(V105=$G104+$H104,1,0)+IF(V106=$I$106,3,0)+IF(V107=$G106+$H106,1,0)+IF(V108=$I$108,3,0)+IF(V109=$G108+$H108,1,0)+IF(V110=$I$110,3,0)+IF(V111=$G110+$H110,1,0)+IF(V112=$I$112,3,0)+IF(V113=$G112+$H112,1,0)+IF(V114=$I$114,3,0)+IF(V115=$G114+$H114,1,0)+IF(V116=$I$116,3,0)+IF(V117=$G116+$H116,1,0)+IF(V118=$I$118,3,0)+IF(V119=$G118+$H118,1,0)+IF(V120=$I$120,3,0)+IF(V121=$G120+$H120,1,0)+IF(V122=$I$122,3,0)+IF(V123=$G122+$H122,1,0)+IF(V124=$I$124,3,0)+IF(V125=$G124+$H124,1,0)+IF(V126=$I$126,3,0)+IF(V127=$G126+$H126,1,0)+IF(V128=$I$128,3,0)+IF(V129=$G128+$H128,1,0)+IF(V130=$I$130,3,0)+IF(V131=$G130+$H130,1,0)+IF(V132=$I$132,3,0)+IF(V133=$G132+$H132,1,0)+IF(V134=$I$134,3,0)+IF(V135=$G134+$H134,1,0)+IF(V136=$I$136,3,0)+IF(V137=$G136+$H136,1,0)+IF(V138=$I$138,3,0)+IF(V139=$G138+$H138,1,0)+IF(V140=$I$140,3,0)+IF(V141=$G140+$H140,1,0)+IF(V142=$I$142,3,0)+IF(V143=$G142+$H142,1,0)+IF(V144=$I$144,3,0)+IF(V145=$G144+$H144,1,0)+IF(V146=$I$146,3,0)+IF(V147=$G146+$H146,1,0)+IF(V148=$I$148,3,0)+IF(V149=$G148+$H148,1,0)+IF(V150=$I$150,3,0)+IF(V151=$G150+$H150,1,0))</f>
        <v>26</v>
      </c>
      <c r="W5" s="75">
        <f>SUM(IF(W80=$I$80,3,0)+IF(W81=$G80+$H80,1,0)+IF(W82=$I$82,3,0)+IF(W83=$G82+$H82,1,0)+IF(W84=$I$84,3,0)+IF(W85=$G84+$H84,1,0)+IF(W86=$I$86,3,0)+IF(W87=$G86+$H86,1,0)+IF(W88=$I$88,3,0)+IF(W89=$G88+$H88,1,0)+IF(W90=$I$90,3,0)+IF(W91=$G90+$H90,1,0)+IF(W92=$I$92,3,0)+IF(W93=$G92+$H92,1,0)+IF(W94=$I$94,3,0)+IF(W95=$G94+$H94,1,0)+IF(W96=$I$96,3,0)+IF(W97=$G96+$H96,1,0)+IF(W98=$I$98,3,0)+IF(W99=$G98+$H98,1,0)+IF(W100=$I$100,3,0)+IF(W101=$G100+$H100,1,0)+IF(W102=$I$102,3,0)+IF(W103=$G102+$H102,1,0)+IF(W104=$I$104,3,0)+IF(W105=$G104+$H104,1,0)+IF(W106=$I$106,3,0)+IF(W107=$G106+$H106,1,0)+IF(W108=$I$108,3,0)+IF(W109=$G108+$H108,1,0)+IF(W110=$I$110,3,0)+IF(W111=$G110+$H110,1,0)+IF(W112=$I$112,3,0)+IF(W113=$G112+$H112,1,0)+IF(W114=$I$114,3,0)+IF(W115=$G114+$H114,1,0)+IF(W116=$I$116,3,0)+IF(W117=$G116+$H116,1,0)+IF(W118=$I$118,3,0)+IF(W119=$G118+$H118,1,0)+IF(W120=$I$120,3,0)+IF(W121=$G120+$H120,1,0)+IF(W122=$I$122,3,0)+IF(W123=$G122+$H122,1,0)+IF(W124=$I$124,3,0)+IF(W125=$G124+$H124,1,0)+IF(W126=$I$126,3,0)+IF(W127=$G126+$H126,1,0)+IF(W128=$I$128,3,0)+IF(W129=$G128+$H128,1,0)+IF(W130=$I$130,3,0)+IF(W131=$G130+$H130,1,0)+IF(W132=$I$132,3,0)+IF(W133=$G132+$H132,1,0)+IF(W134=$I$134,3,0)+IF(W135=$G134+$H134,1,0)+IF(W136=$I$136,3,0)+IF(W137=$G136+$H136,1,0)+IF(W138=$I$138,3,0)+IF(W139=$G138+$H138,1,0)+IF(W140=$I$140,3,0)+IF(W141=$G140+$H140,1,0)+IF(W142=$I$142,3,0)+IF(W143=$G142+$H142,1,0)+IF(W144=$I$144,3,0)+IF(W145=$G144+$H144,1,0)+IF(W146=$I$146,3,0)+IF(W147=$G146+$H146,1,0)+IF(W148=$I$148,3,0)+IF(W149=$G148+$H148,1,0)+IF(W150=$I$150,3,0)+IF(W151=$G150+$H150,1,0))</f>
        <v>19</v>
      </c>
      <c r="X5" s="75">
        <f>SUM(IF(X80=$I$80,3,0)+IF(X81=$G80+$H80,1,0)+IF(X82=$I$82,3,0)+IF(X83=$G82+$H82,1,0)+IF(X84=$I$84,3,0)+IF(X85=$G84+$H84,1,0)+IF(X86=$I$86,3,0)+IF(X87=$G86+$H86,1,0)+IF(X88=$I$88,3,0)+IF(X89=$G88+$H88,1,0)+IF(X90=$I$90,3,0)+IF(X91=$G90+$H90,1,0)+IF(X92=$I$92,3,0)+IF(X93=$G92+$H92,1,0)+IF(X94=$I$94,3,0)+IF(X95=$G94+$H94,1,0)+IF(X96=$I$96,3,0)+IF(X97=$G96+$H96,1,0)+IF(X98=$I$98,3,0)+IF(X99=$G98+$H98,1,0)+IF(X100=$I$100,3,0)+IF(X101=$G100+$H100,1,0)+IF(X102=$I$102,3,0)+IF(X103=$G102+$H102,1,0)+IF(X104=$I$104,3,0)+IF(X105=$G104+$H104,1,0)+IF(X106=$I$106,3,0)+IF(X107=$G106+$H106,1,0)+IF(X108=$I$108,3,0)+IF(X109=$G108+$H108,1,0)+IF(X110=$I$110,3,0)+IF(X111=$G110+$H110,1,0)+IF(X112=$I$112,3,0)+IF(X113=$G112+$H112,1,0)+IF(X114=$I$114,3,0)+IF(X115=$G114+$H114,1,0)+IF(X116=$I$116,3,0)+IF(X117=$G116+$H116,1,0)+IF(X118=$I$118,3,0)+IF(X119=$G118+$H118,1,0)+IF(X120=$I$120,3,0)+IF(X121=$G120+$H120,1,0)+IF(X122=$I$122,3,0)+IF(X123=$G122+$H122,1,0)+IF(X124=$I$124,3,0)+IF(X125=$G124+$H124,1,0)+IF(X126=$I$126,3,0)+IF(X127=$G126+$H126,1,0)+IF(X128=$I$128,3,0)+IF(X129=$G128+$H128,1,0)+IF(X130=$I$130,3,0)+IF(X131=$G130+$H130,1,0)+IF(X132=$I$132,3,0)+IF(X133=$G132+$H132,1,0)+IF(X134=$I$134,3,0)+IF(X135=$G134+$H134,1,0)+IF(X136=$I$136,3,0)+IF(X137=$G136+$H136,1,0)+IF(X138=$I$138,3,0)+IF(X139=$G138+$H138,1,0)+IF(X140=$I$140,3,0)+IF(X141=$G140+$H140,1,0)+IF(X142=$I$142,3,0)+IF(X143=$G142+$H142,1,0)+IF(X144=$I$144,3,0)+IF(X145=$G144+$H144,1,0)+IF(X146=$I$146,3,0)+IF(X147=$G146+$H146,1,0)+IF(X148=$I$148,3,0)+IF(X149=$G148+$H148,1,0)+IF(X150=$I$150,3,0)+IF(X151=$G150+$H150,1,0))</f>
        <v>25</v>
      </c>
      <c r="Y5" s="75">
        <f>SUM(IF(Y80=$I$80,3,0)+IF(Y81=$G80+$H80,1,0)+IF(Y82=$I$82,3,0)+IF(Y83=$G82+$H82,1,0)+IF(Y84=$I$84,3,0)+IF(Y85=$G84+$H84,1,0)+IF(Y86=$I$86,3,0)+IF(Y87=$G86+$H86,1,0)+IF(Y88=$I$88,3,0)+IF(Y89=$G88+$H88,1,0)+IF(Y90=$I$90,3,0)+IF(Y91=$G90+$H90,1,0)+IF(Y92=$I$92,3,0)+IF(Y93=$G92+$H92,1,0)+IF(Y94=$I$94,3,0)+IF(Y95=$G94+$H94,1,0)+IF(Y96=$I$96,3,0)+IF(Y97=$G96+$H96,1,0)+IF(Y98=$I$98,3,0)+IF(Y99=$G98+$H98,1,0)+IF(Y100=$I$100,3,0)+IF(Y101=$G100+$H100,1,0)+IF(Y102=$I$102,3,0)+IF(Y103=$G102+$H102,1,0)+IF(Y104=$I$104,3,0)+IF(Y105=$G104+$H104,1,0)+IF(Y106=$I$106,3,0)+IF(Y107=$G106+$H106,1,0)+IF(Y108=$I$108,3,0)+IF(Y109=$G108+$H108,1,0)+IF(Y110=$I$110,3,0)+IF(Y111=$G110+$H110,1,0)+IF(Y112=$I$112,3,0)+IF(Y113=$G112+$H112,1,0)+IF(Y114=$I$114,3,0)+IF(Y115=$G114+$H114,1,0)+IF(Y116=$I$116,3,0)+IF(Y117=$G116+$H116,1,0)+IF(Y118=$I$118,3,0)+IF(Y119=$G118+$H118,1,0)+IF(Y120=$I$120,3,0)+IF(Y121=$G120+$H120,1,0)+IF(Y122=$I$122,3,0)+IF(Y123=$G122+$H122,1,0)+IF(Y124=$I$124,3,0)+IF(Y125=$G124+$H124,1,0)+IF(Y126=$I$126,3,0)+IF(Y127=$G126+$H126,1,0)+IF(Y128=$I$128,3,0)+IF(Y129=$G128+$H128,1,0)+IF(Y130=$I$130,3,0)+IF(Y131=$G130+$H130,1,0)+IF(Y132=$I$132,3,0)+IF(Y133=$G132+$H132,1,0)+IF(Y134=$I$134,3,0)+IF(Y135=$G134+$H134,1,0)+IF(Y136=$I$136,3,0)+IF(Y137=$G136+$H136,1,0)+IF(Y138=$I$138,3,0)+IF(Y139=$G138+$H138,1,0)+IF(Y140=$I$140,3,0)+IF(Y141=$G140+$H140,1,0)+IF(Y142=$I$142,3,0)+IF(Y143=$G142+$H142,1,0)+IF(Y144=$I$144,3,0)+IF(Y145=$G144+$H144,1,0)+IF(Y146=$I$146,3,0)+IF(Y147=$G146+$H146,1,0)+IF(Y148=$I$148,3,0)+IF(Y149=$G148+$H148,1,0)+IF(Y150=$I$150,3,0)+IF(Y151=$G150+$H150,1,0))</f>
        <v>23</v>
      </c>
      <c r="Z5" s="75">
        <f>SUM(IF(Z80=$I$80,3,0)+IF(Z81=$G80+$H80,1,0)+IF(Z82=$I$82,3,0)+IF(Z83=$G82+$H82,1,0)+IF(Z84=$I$84,3,0)+IF(Z85=$G84+$H84,1,0)+IF(Z86=$I$86,3,0)+IF(Z87=$G86+$H86,1,0)+IF(Z88=$I$88,3,0)+IF(Z89=$G88+$H88,1,0)+IF(Z90=$I$90,3,0)+IF(Z91=$G90+$H90,1,0)+IF(Z92=$I$92,3,0)+IF(Z93=$G92+$H92,1,0)+IF(Z94=$I$94,3,0)+IF(Z95=$G94+$H94,1,0)+IF(Z96=$I$96,3,0)+IF(Z97=$G96+$H96,1,0)+IF(Z98=$I$98,3,0)+IF(Z99=$G98+$H98,1,0)+IF(Z100=$I$100,3,0)+IF(Z101=$G100+$H100,1,0)+IF(Z102=$I$102,3,0)+IF(Z103=$G102+$H102,1,0)+IF(Z104=$I$104,3,0)+IF(Z105=$G104+$H104,1,0)+IF(Z106=$I$106,3,0)+IF(Z107=$G106+$H106,1,0)+IF(Z108=$I$108,3,0)+IF(Z109=$G108+$H108,1,0)+IF(Z110=$I$110,3,0)+IF(Z111=$G110+$H110,1,0)+IF(Z112=$I$112,3,0)+IF(Z113=$G112+$H112,1,0)+IF(Z114=$I$114,3,0)+IF(Z115=$G114+$H114,1,0)+IF(Z116=$I$116,3,0)+IF(Z117=$G116+$H116,1,0)+IF(Z118=$I$118,3,0)+IF(Z119=$G118+$H118,1,0)+IF(Z120=$I$120,3,0)+IF(Z121=$G120+$H120,1,0)+IF(Z122=$I$122,3,0)+IF(Z123=$G122+$H122,1,0)+IF(Z124=$I$124,3,0)+IF(Z125=$G124+$H124,1,0)+IF(Z126=$I$126,3,0)+IF(Z127=$G126+$H126,1,0)+IF(Z128=$I$128,3,0)+IF(Z129=$G128+$H128,1,0)+IF(Z130=$I$130,3,0)+IF(Z131=$G130+$H130,1,0)+IF(Z132=$I$132,3,0)+IF(Z133=$G132+$H132,1,0)+IF(Z134=$I$134,3,0)+IF(Z135=$G134+$H134,1,0)+IF(Z136=$I$136,3,0)+IF(Z137=$G136+$H136,1,0)+IF(Z138=$I$138,3,0)+IF(Z139=$G138+$H138,1,0)+IF(Z140=$I$140,3,0)+IF(Z141=$G140+$H140,1,0)+IF(Z142=$I$142,3,0)+IF(Z143=$G142+$H142,1,0)+IF(Z144=$I$144,3,0)+IF(Z145=$G144+$H144,1,0)+IF(Z146=$I$146,3,0)+IF(Z147=$G146+$H146,1,0)+IF(Z148=$I$148,3,0)+IF(Z149=$G148+$H148,1,0)+IF(Z150=$I$150,3,0)+IF(Z151=$G150+$H150,1,0))</f>
        <v>20</v>
      </c>
      <c r="AA5" s="75">
        <f>SUM(IF(AA80=$I$80,3,0)+IF(AA81=$G80+$H80,1,0)+IF(AA82=$I$82,3,0)+IF(AA83=$G82+$H82,1,0)+IF(AA84=$I$84,3,0)+IF(AA85=$G84+$H84,1,0)+IF(AA86=$I$86,3,0)+IF(AA87=$G86+$H86,1,0)+IF(AA88=$I$88,3,0)+IF(AA89=$G88+$H88,1,0)+IF(AA90=$I$90,3,0)+IF(AA91=$G90+$H90,1,0)+IF(AA92=$I$92,3,0)+IF(AA93=$G92+$H92,1,0)+IF(AA94=$I$94,3,0)+IF(AA95=$G94+$H94,1,0)+IF(AA96=$I$96,3,0)+IF(AA97=$G96+$H96,1,0)+IF(AA98=$I$98,3,0)+IF(AA99=$G98+$H98,1,0)+IF(AA100=$I$100,3,0)+IF(AA101=$G100+$H100,1,0)+IF(AA102=$I$102,3,0)+IF(AA103=$G102+$H102,1,0)+IF(AA104=$I$104,3,0)+IF(AA105=$G104+$H104,1,0)+IF(AA106=$I$106,3,0)+IF(AA107=$G106+$H106,1,0)+IF(AA108=$I$108,3,0)+IF(AA109=$G108+$H108,1,0)+IF(AA110=$I$110,3,0)+IF(AA111=$G110+$H110,1,0)+IF(AA112=$I$112,3,0)+IF(AA113=$G112+$H112,1,0)+IF(AA114=$I$114,3,0)+IF(AA115=$G114+$H114,1,0)+IF(AA116=$I$116,3,0)+IF(AA117=$G116+$H116,1,0)+IF(AA118=$I$118,3,0)+IF(AA119=$G118+$H118,1,0)+IF(AA120=$I$120,3,0)+IF(AA121=$G120+$H120,1,0)+IF(AA122=$I$122,3,0)+IF(AA123=$G122+$H122,1,0)+IF(AA124=$I$124,3,0)+IF(AA125=$G124+$H124,1,0)+IF(AA126=$I$126,3,0)+IF(AA127=$G126+$H126,1,0)+IF(AA128=$I$128,3,0)+IF(AA129=$G128+$H128,1,0)+IF(AA130=$I$130,3,0)+IF(AA131=$G130+$H130,1,0)+IF(AA132=$I$132,3,0)+IF(AA133=$G132+$H132,1,0)+IF(AA134=$I$134,3,0)+IF(AA135=$G134+$H134,1,0)+IF(AA136=$I$136,3,0)+IF(AA137=$G136+$H136,1,0)+IF(AA138=$I$138,3,0)+IF(AA139=$G138+$H138,1,0)+IF(AA140=$I$140,3,0)+IF(AA141=$G140+$H140,1,0)+IF(AA142=$I$142,3,0)+IF(AA143=$G142+$H142,1,0)+IF(AA144=$I$144,3,0)+IF(AA145=$G144+$H144,1,0)+IF(AA146=$I$146,3,0)+IF(AA147=$G146+$H146,1,0)+IF(AA148=$I$148,3,0)+IF(AA149=$G148+$H148,1,0)+IF(AA150=$I$150,3,0)+IF(AA151=$G150+$H150,1,0))</f>
        <v>22</v>
      </c>
      <c r="AB5" s="75">
        <f>SUM(IF(AB80=$I$80,3,0)+IF(AB81=$G80+$H80,1,0)+IF(AB82=$I$82,3,0)+IF(AB83=$G82+$H82,1,0)+IF(AB84=$I$84,3,0)+IF(AB85=$G84+$H84,1,0)+IF(AB86=$I$86,3,0)+IF(AB87=$G86+$H86,1,0)+IF(AB88=$I$88,3,0)+IF(AB89=$G88+$H88,1,0)+IF(AB90=$I$90,3,0)+IF(AB91=$G90+$H90,1,0)+IF(AB92=$I$92,3,0)+IF(AB93=$G92+$H92,1,0)+IF(AB94=$I$94,3,0)+IF(AB95=$G94+$H94,1,0)+IF(AB96=$I$96,3,0)+IF(AB97=$G96+$H96,1,0)+IF(AB98=$I$98,3,0)+IF(AB99=$G98+$H98,1,0)+IF(AB100=$I$100,3,0)+IF(AB101=$G100+$H100,1,0)+IF(AB102=$I$102,3,0)+IF(AB103=$G102+$H102,1,0)+IF(AB104=$I$104,3,0)+IF(AB105=$G104+$H104,1,0)+IF(AB106=$I$106,3,0)+IF(AB107=$G106+$H106,1,0)+IF(AB108=$I$108,3,0)+IF(AB109=$G108+$H108,1,0)+IF(AB110=$I$110,3,0)+IF(AB111=$G110+$H110,1,0)+IF(AB112=$I$112,3,0)+IF(AB113=$G112+$H112,1,0)+IF(AB114=$I$114,3,0)+IF(AB115=$G114+$H114,1,0)+IF(AB116=$I$116,3,0)+IF(AB117=$G116+$H116,1,0)+IF(AB118=$I$118,3,0)+IF(AB119=$G118+$H118,1,0)+IF(AB120=$I$120,3,0)+IF(AB121=$G120+$H120,1,0)+IF(AB122=$I$122,3,0)+IF(AB123=$G122+$H122,1,0)+IF(AB124=$I$124,3,0)+IF(AB125=$G124+$H124,1,0)+IF(AB126=$I$126,3,0)+IF(AB127=$G126+$H126,1,0)+IF(AB128=$I$128,3,0)+IF(AB129=$G128+$H128,1,0)+IF(AB130=$I$130,3,0)+IF(AB131=$G130+$H130,1,0)+IF(AB132=$I$132,3,0)+IF(AB133=$G132+$H132,1,0)+IF(AB134=$I$134,3,0)+IF(AB135=$G134+$H134,1,0)+IF(AB136=$I$136,3,0)+IF(AB137=$G136+$H136,1,0)+IF(AB138=$I$138,3,0)+IF(AB139=$G138+$H138,1,0)+IF(AB140=$I$140,3,0)+IF(AB141=$G140+$H140,1,0)+IF(AB142=$I$142,3,0)+IF(AB143=$G142+$H142,1,0)+IF(AB144=$I$144,3,0)+IF(AB145=$G144+$H144,1,0)+IF(AB146=$I$146,3,0)+IF(AB147=$G146+$H146,1,0)+IF(AB148=$I$148,3,0)+IF(AB149=$G148+$H148,1,0)+IF(AB150=$I$150,3,0)+IF(AB151=$G150+$H150,1,0))</f>
        <v>26</v>
      </c>
      <c r="AC5" s="75">
        <f>SUM(IF(AC80=$I$80,3,0)+IF(AC81=$G80+$H80,1,0)+IF(AC82=$I$82,3,0)+IF(AC83=$G82+$H82,1,0)+IF(AC84=$I$84,3,0)+IF(AC85=$G84+$H84,1,0)+IF(AC86=$I$86,3,0)+IF(AC87=$G86+$H86,1,0)+IF(AC88=$I$88,3,0)+IF(AC89=$G88+$H88,1,0)+IF(AC90=$I$90,3,0)+IF(AC91=$G90+$H90,1,0)+IF(AC92=$I$92,3,0)+IF(AC93=$G92+$H92,1,0)+IF(AC94=$I$94,3,0)+IF(AC95=$G94+$H94,1,0)+IF(AC96=$I$96,3,0)+IF(AC97=$G96+$H96,1,0)+IF(AC98=$I$98,3,0)+IF(AC99=$G98+$H98,1,0)+IF(AC100=$I$100,3,0)+IF(AC101=$G100+$H100,1,0)+IF(AC102=$I$102,3,0)+IF(AC103=$G102+$H102,1,0)+IF(AC104=$I$104,3,0)+IF(AC105=$G104+$H104,1,0)+IF(AC106=$I$106,3,0)+IF(AC107=$G106+$H106,1,0)+IF(AC108=$I$108,3,0)+IF(AC109=$G108+$H108,1,0)+IF(AC110=$I$110,3,0)+IF(AC111=$G110+$H110,1,0)+IF(AC112=$I$112,3,0)+IF(AC113=$G112+$H112,1,0)+IF(AC114=$I$114,3,0)+IF(AC115=$G114+$H114,1,0)+IF(AC116=$I$116,3,0)+IF(AC117=$G116+$H116,1,0)+IF(AC118=$I$118,3,0)+IF(AC119=$G118+$H118,1,0)+IF(AC120=$I$120,3,0)+IF(AC121=$G120+$H120,1,0)+IF(AC122=$I$122,3,0)+IF(AC123=$G122+$H122,1,0)+IF(AC124=$I$124,3,0)+IF(AC125=$G124+$H124,1,0)+IF(AC126=$I$126,3,0)+IF(AC127=$G126+$H126,1,0)+IF(AC128=$I$128,3,0)+IF(AC129=$G128+$H128,1,0)+IF(AC130=$I$130,3,0)+IF(AC131=$G130+$H130,1,0)+IF(AC132=$I$132,3,0)+IF(AC133=$G132+$H132,1,0)+IF(AC134=$I$134,3,0)+IF(AC135=$G134+$H134,1,0)+IF(AC136=$I$136,3,0)+IF(AC137=$G136+$H136,1,0)+IF(AC138=$I$138,3,0)+IF(AC139=$G138+$H138,1,0)+IF(AC140=$I$140,3,0)+IF(AC141=$G140+$H140,1,0)+IF(AC142=$I$142,3,0)+IF(AC143=$G142+$H142,1,0)+IF(AC144=$I$144,3,0)+IF(AC145=$G144+$H144,1,0)+IF(AC146=$I$146,3,0)+IF(AC147=$G146+$H146,1,0)+IF(AC148=$I$148,3,0)+IF(AC149=$G148+$H148,1,0)+IF(AC150=$I$150,3,0)+IF(AC151=$G150+$H150,1,0))</f>
        <v>18</v>
      </c>
      <c r="AD5" s="75">
        <f>SUM(IF(AD80=$I$80,3,0)+IF(AD81=$G80+$H80,1,0)+IF(AD82=$I$82,3,0)+IF(AD83=$G82+$H82,1,0)+IF(AD84=$I$84,3,0)+IF(AD85=$G84+$H84,1,0)+IF(AD86=$I$86,3,0)+IF(AD87=$G86+$H86,1,0)+IF(AD88=$I$88,3,0)+IF(AD89=$G88+$H88,1,0)+IF(AD90=$I$90,3,0)+IF(AD91=$G90+$H90,1,0)+IF(AD92=$I$92,3,0)+IF(AD93=$G92+$H92,1,0)+IF(AD94=$I$94,3,0)+IF(AD95=$G94+$H94,1,0)+IF(AD96=$I$96,3,0)+IF(AD97=$G96+$H96,1,0)+IF(AD98=$I$98,3,0)+IF(AD99=$G98+$H98,1,0)+IF(AD100=$I$100,3,0)+IF(AD101=$G100+$H100,1,0)+IF(AD102=$I$102,3,0)+IF(AD103=$G102+$H102,1,0)+IF(AD104=$I$104,3,0)+IF(AD105=$G104+$H104,1,0)+IF(AD106=$I$106,3,0)+IF(AD107=$G106+$H106,1,0)+IF(AD108=$I$108,3,0)+IF(AD109=$G108+$H108,1,0)+IF(AD110=$I$110,3,0)+IF(AD111=$G110+$H110,1,0)+IF(AD112=$I$112,3,0)+IF(AD113=$G112+$H112,1,0)+IF(AD114=$I$114,3,0)+IF(AD115=$G114+$H114,1,0)+IF(AD116=$I$116,3,0)+IF(AD117=$G116+$H116,1,0)+IF(AD118=$I$118,3,0)+IF(AD119=$G118+$H118,1,0)+IF(AD120=$I$120,3,0)+IF(AD121=$G120+$H120,1,0)+IF(AD122=$I$122,3,0)+IF(AD123=$G122+$H122,1,0)+IF(AD124=$I$124,3,0)+IF(AD125=$G124+$H124,1,0)+IF(AD126=$I$126,3,0)+IF(AD127=$G126+$H126,1,0)+IF(AD128=$I$128,3,0)+IF(AD129=$G128+$H128,1,0)+IF(AD130=$I$130,3,0)+IF(AD131=$G130+$H130,1,0)+IF(AD132=$I$132,3,0)+IF(AD133=$G132+$H132,1,0)+IF(AD134=$I$134,3,0)+IF(AD135=$G134+$H134,1,0)+IF(AD136=$I$136,3,0)+IF(AD137=$G136+$H136,1,0)+IF(AD138=$I$138,3,0)+IF(AD139=$G138+$H138,1,0)+IF(AD140=$I$140,3,0)+IF(AD141=$G140+$H140,1,0)+IF(AD142=$I$142,3,0)+IF(AD143=$G142+$H142,1,0)+IF(AD144=$I$144,3,0)+IF(AD145=$G144+$H144,1,0)+IF(AD146=$I$146,3,0)+IF(AD147=$G146+$H146,1,0)+IF(AD148=$I$148,3,0)+IF(AD149=$G148+$H148,1,0)+IF(AD150=$I$150,3,0)+IF(AD151=$G150+$H150,1,0))</f>
        <v>19</v>
      </c>
      <c r="AE5" s="75">
        <f>SUM(IF(AE80=$I$80,3,0)+IF(AE81=$G80+$H80,1,0)+IF(AE82=$I$82,3,0)+IF(AE83=$G82+$H82,1,0)+IF(AE84=$I$84,3,0)+IF(AE85=$G84+$H84,1,0)+IF(AE86=$I$86,3,0)+IF(AE87=$G86+$H86,1,0)+IF(AE88=$I$88,3,0)+IF(AE89=$G88+$H88,1,0)+IF(AE90=$I$90,3,0)+IF(AE91=$G90+$H90,1,0)+IF(AE92=$I$92,3,0)+IF(AE93=$G92+$H92,1,0)+IF(AE94=$I$94,3,0)+IF(AE95=$G94+$H94,1,0)+IF(AE96=$I$96,3,0)+IF(AE97=$G96+$H96,1,0)+IF(AE98=$I$98,3,0)+IF(AE99=$G98+$H98,1,0)+IF(AE100=$I$100,3,0)+IF(AE101=$G100+$H100,1,0)+IF(AE102=$I$102,3,0)+IF(AE103=$G102+$H102,1,0)+IF(AE104=$I$104,3,0)+IF(AE105=$G104+$H104,1,0)+IF(AE106=$I$106,3,0)+IF(AE107=$G106+$H106,1,0)+IF(AE108=$I$108,3,0)+IF(AE109=$G108+$H108,1,0)+IF(AE110=$I$110,3,0)+IF(AE111=$G110+$H110,1,0)+IF(AE112=$I$112,3,0)+IF(AE113=$G112+$H112,1,0)+IF(AE114=$I$114,3,0)+IF(AE115=$G114+$H114,1,0)+IF(AE116=$I$116,3,0)+IF(AE117=$G116+$H116,1,0)+IF(AE118=$I$118,3,0)+IF(AE119=$G118+$H118,1,0)+IF(AE120=$I$120,3,0)+IF(AE121=$G120+$H120,1,0)+IF(AE122=$I$122,3,0)+IF(AE123=$G122+$H122,1,0)+IF(AE124=$I$124,3,0)+IF(AE125=$G124+$H124,1,0)+IF(AE126=$I$126,3,0)+IF(AE127=$G126+$H126,1,0)+IF(AE128=$I$128,3,0)+IF(AE129=$G128+$H128,1,0)+IF(AE130=$I$130,3,0)+IF(AE131=$G130+$H130,1,0)+IF(AE132=$I$132,3,0)+IF(AE133=$G132+$H132,1,0)+IF(AE134=$I$134,3,0)+IF(AE135=$G134+$H134,1,0)+IF(AE136=$I$136,3,0)+IF(AE137=$G136+$H136,1,0)+IF(AE138=$I$138,3,0)+IF(AE139=$G138+$H138,1,0)+IF(AE140=$I$140,3,0)+IF(AE141=$G140+$H140,1,0)+IF(AE142=$I$142,3,0)+IF(AE143=$G142+$H142,1,0)+IF(AE144=$I$144,3,0)+IF(AE145=$G144+$H144,1,0)+IF(AE146=$I$146,3,0)+IF(AE147=$G146+$H146,1,0)+IF(AE148=$I$148,3,0)+IF(AE149=$G148+$H148,1,0)+IF(AE150=$I$150,3,0)+IF(AE151=$G150+$H150,1,0))</f>
        <v>25</v>
      </c>
      <c r="AF5" s="75">
        <f>SUM(IF(AF80=$I$80,3,0)+IF(AF81=$G80+$H80,1,0)+IF(AF82=$I$82,3,0)+IF(AF83=$G82+$H82,1,0)+IF(AF84=$I$84,3,0)+IF(AF85=$G84+$H84,1,0)+IF(AF86=$I$86,3,0)+IF(AF87=$G86+$H86,1,0)+IF(AF88=$I$88,3,0)+IF(AF89=$G88+$H88,1,0)+IF(AF90=$I$90,3,0)+IF(AF91=$G90+$H90,1,0)+IF(AF92=$I$92,3,0)+IF(AF93=$G92+$H92,1,0)+IF(AF94=$I$94,3,0)+IF(AF95=$G94+$H94,1,0)+IF(AF96=$I$96,3,0)+IF(AF97=$G96+$H96,1,0)+IF(AF98=$I$98,3,0)+IF(AF99=$G98+$H98,1,0)+IF(AF100=$I$100,3,0)+IF(AF101=$G100+$H100,1,0)+IF(AF102=$I$102,3,0)+IF(AF103=$G102+$H102,1,0)+IF(AF104=$I$104,3,0)+IF(AF105=$G104+$H104,1,0)+IF(AF106=$I$106,3,0)+IF(AF107=$G106+$H106,1,0)+IF(AF108=$I$108,3,0)+IF(AF109=$G108+$H108,1,0)+IF(AF110=$I$110,3,0)+IF(AF111=$G110+$H110,1,0)+IF(AF112=$I$112,3,0)+IF(AF113=$G112+$H112,1,0)+IF(AF114=$I$114,3,0)+IF(AF115=$G114+$H114,1,0)+IF(AF116=$I$116,3,0)+IF(AF117=$G116+$H116,1,0)+IF(AF118=$I$118,3,0)+IF(AF119=$G118+$H118,1,0)+IF(AF120=$I$120,3,0)+IF(AF121=$G120+$H120,1,0)+IF(AF122=$I$122,3,0)+IF(AF123=$G122+$H122,1,0)+IF(AF124=$I$124,3,0)+IF(AF125=$G124+$H124,1,0)+IF(AF126=$I$126,3,0)+IF(AF127=$G126+$H126,1,0)+IF(AF128=$I$128,3,0)+IF(AF129=$G128+$H128,1,0)+IF(AF130=$I$130,3,0)+IF(AF131=$G130+$H130,1,0)+IF(AF132=$I$132,3,0)+IF(AF133=$G132+$H132,1,0)+IF(AF134=$I$134,3,0)+IF(AF135=$G134+$H134,1,0)+IF(AF136=$I$136,3,0)+IF(AF137=$G136+$H136,1,0)+IF(AF138=$I$138,3,0)+IF(AF139=$G138+$H138,1,0)+IF(AF140=$I$140,3,0)+IF(AF141=$G140+$H140,1,0)+IF(AF142=$I$142,3,0)+IF(AF143=$G142+$H142,1,0)+IF(AF144=$I$144,3,0)+IF(AF145=$G144+$H144,1,0)+IF(AF146=$I$146,3,0)+IF(AF147=$G146+$H146,1,0)+IF(AF148=$I$148,3,0)+IF(AF149=$G148+$H148,1,0)+IF(AF150=$I$150,3,0)+IF(AF151=$G150+$H150,1,0))</f>
        <v>19</v>
      </c>
      <c r="AG5" s="75">
        <f>SUM(IF(AG80=$I$80,3,0)+IF(AG81=$G80+$H80,1,0)+IF(AG82=$I$82,3,0)+IF(AG83=$G82+$H82,1,0)+IF(AG84=$I$84,3,0)+IF(AG85=$G84+$H84,1,0)+IF(AG86=$I$86,3,0)+IF(AG87=$G86+$H86,1,0)+IF(AG88=$I$88,3,0)+IF(AG89=$G88+$H88,1,0)+IF(AG90=$I$90,3,0)+IF(AG91=$G90+$H90,1,0)+IF(AG92=$I$92,3,0)+IF(AG93=$G92+$H92,1,0)+IF(AG94=$I$94,3,0)+IF(AG95=$G94+$H94,1,0)+IF(AG96=$I$96,3,0)+IF(AG97=$G96+$H96,1,0)+IF(AG98=$I$98,3,0)+IF(AG99=$G98+$H98,1,0)+IF(AG100=$I$100,3,0)+IF(AG101=$G100+$H100,1,0)+IF(AG102=$I$102,3,0)+IF(AG103=$G102+$H102,1,0)+IF(AG104=$I$104,3,0)+IF(AG105=$G104+$H104,1,0)+IF(AG106=$I$106,3,0)+IF(AG107=$G106+$H106,1,0)+IF(AG108=$I$108,3,0)+IF(AG109=$G108+$H108,1,0)+IF(AG110=$I$110,3,0)+IF(AG111=$G110+$H110,1,0)+IF(AG112=$I$112,3,0)+IF(AG113=$G112+$H112,1,0)+IF(AG114=$I$114,3,0)+IF(AG115=$G114+$H114,1,0)+IF(AG116=$I$116,3,0)+IF(AG117=$G116+$H116,1,0)+IF(AG118=$I$118,3,0)+IF(AG119=$G118+$H118,1,0)+IF(AG120=$I$120,3,0)+IF(AG121=$G120+$H120,1,0)+IF(AG122=$I$122,3,0)+IF(AG123=$G122+$H122,1,0)+IF(AG124=$I$124,3,0)+IF(AG125=$G124+$H124,1,0)+IF(AG126=$I$126,3,0)+IF(AG127=$G126+$H126,1,0)+IF(AG128=$I$128,3,0)+IF(AG129=$G128+$H128,1,0)+IF(AG130=$I$130,3,0)+IF(AG131=$G130+$H130,1,0)+IF(AG132=$I$132,3,0)+IF(AG133=$G132+$H132,1,0)+IF(AG134=$I$134,3,0)+IF(AG135=$G134+$H134,1,0)+IF(AG136=$I$136,3,0)+IF(AG137=$G136+$H136,1,0)+IF(AG138=$I$138,3,0)+IF(AG139=$G138+$H138,1,0)+IF(AG140=$I$140,3,0)+IF(AG141=$G140+$H140,1,0)+IF(AG142=$I$142,3,0)+IF(AG143=$G142+$H142,1,0)+IF(AG144=$I$144,3,0)+IF(AG145=$G144+$H144,1,0)+IF(AG146=$I$146,3,0)+IF(AG147=$G146+$H146,1,0)+IF(AG148=$I$148,3,0)+IF(AG149=$G148+$H148,1,0)+IF(AG150=$I$150,3,0)+IF(AG151=$G150+$H150,1,0))</f>
        <v>25</v>
      </c>
      <c r="AH5" s="75">
        <f>SUM(IF(AH80=$I$80,3,0)+IF(AH81=$G80+$H80,1,0)+IF(AH82=$I$82,3,0)+IF(AH83=$G82+$H82,1,0)+IF(AH84=$I$84,3,0)+IF(AH85=$G84+$H84,1,0)+IF(AH86=$I$86,3,0)+IF(AH87=$G86+$H86,1,0)+IF(AH88=$I$88,3,0)+IF(AH89=$G88+$H88,1,0)+IF(AH90=$I$90,3,0)+IF(AH91=$G90+$H90,1,0)+IF(AH92=$I$92,3,0)+IF(AH93=$G92+$H92,1,0)+IF(AH94=$I$94,3,0)+IF(AH95=$G94+$H94,1,0)+IF(AH96=$I$96,3,0)+IF(AH97=$G96+$H96,1,0)+IF(AH98=$I$98,3,0)+IF(AH99=$G98+$H98,1,0)+IF(AH100=$I$100,3,0)+IF(AH101=$G100+$H100,1,0)+IF(AH102=$I$102,3,0)+IF(AH103=$G102+$H102,1,0)+IF(AH104=$I$104,3,0)+IF(AH105=$G104+$H104,1,0)+IF(AH106=$I$106,3,0)+IF(AH107=$G106+$H106,1,0)+IF(AH108=$I$108,3,0)+IF(AH109=$G108+$H108,1,0)+IF(AH110=$I$110,3,0)+IF(AH111=$G110+$H110,1,0)+IF(AH112=$I$112,3,0)+IF(AH113=$G112+$H112,1,0)+IF(AH114=$I$114,3,0)+IF(AH115=$G114+$H114,1,0)+IF(AH116=$I$116,3,0)+IF(AH117=$G116+$H116,1,0)+IF(AH118=$I$118,3,0)+IF(AH119=$G118+$H118,1,0)+IF(AH120=$I$120,3,0)+IF(AH121=$G120+$H120,1,0)+IF(AH122=$I$122,3,0)+IF(AH123=$G122+$H122,1,0)+IF(AH124=$I$124,3,0)+IF(AH125=$G124+$H124,1,0)+IF(AH126=$I$126,3,0)+IF(AH127=$G126+$H126,1,0)+IF(AH128=$I$128,3,0)+IF(AH129=$G128+$H128,1,0)+IF(AH130=$I$130,3,0)+IF(AH131=$G130+$H130,1,0)+IF(AH132=$I$132,3,0)+IF(AH133=$G132+$H132,1,0)+IF(AH134=$I$134,3,0)+IF(AH135=$G134+$H134,1,0)+IF(AH136=$I$136,3,0)+IF(AH137=$G136+$H136,1,0)+IF(AH138=$I$138,3,0)+IF(AH139=$G138+$H138,1,0)+IF(AH140=$I$140,3,0)+IF(AH141=$G140+$H140,1,0)+IF(AH142=$I$142,3,0)+IF(AH143=$G142+$H142,1,0)+IF(AH144=$I$144,3,0)+IF(AH145=$G144+$H144,1,0)+IF(AH146=$I$146,3,0)+IF(AH147=$G146+$H146,1,0)+IF(AH148=$I$148,3,0)+IF(AH149=$G148+$H148,1,0)+IF(AH150=$I$150,3,0)+IF(AH151=$G150+$H150,1,0))</f>
        <v>26</v>
      </c>
      <c r="AI5" s="75">
        <f>SUM(IF(AI80=$I$80,3,0)+IF(AI81=$G80+$H80,1,0)+IF(AI82=$I$82,3,0)+IF(AI83=$G82+$H82,1,0)+IF(AI84=$I$84,3,0)+IF(AI85=$G84+$H84,1,0)+IF(AI86=$I$86,3,0)+IF(AI87=$G86+$H86,1,0)+IF(AI88=$I$88,3,0)+IF(AI89=$G88+$H88,1,0)+IF(AI90=$I$90,3,0)+IF(AI91=$G90+$H90,1,0)+IF(AI92=$I$92,3,0)+IF(AI93=$G92+$H92,1,0)+IF(AI94=$I$94,3,0)+IF(AI95=$G94+$H94,1,0)+IF(AI96=$I$96,3,0)+IF(AI97=$G96+$H96,1,0)+IF(AI98=$I$98,3,0)+IF(AI99=$G98+$H98,1,0)+IF(AI100=$I$100,3,0)+IF(AI101=$G100+$H100,1,0)+IF(AI102=$I$102,3,0)+IF(AI103=$G102+$H102,1,0)+IF(AI104=$I$104,3,0)+IF(AI105=$G104+$H104,1,0)+IF(AI106=$I$106,3,0)+IF(AI107=$G106+$H106,1,0)+IF(AI108=$I$108,3,0)+IF(AI109=$G108+$H108,1,0)+IF(AI110=$I$110,3,0)+IF(AI111=$G110+$H110,1,0)+IF(AI112=$I$112,3,0)+IF(AI113=$G112+$H112,1,0)+IF(AI114=$I$114,3,0)+IF(AI115=$G114+$H114,1,0)+IF(AI116=$I$116,3,0)+IF(AI117=$G116+$H116,1,0)+IF(AI118=$I$118,3,0)+IF(AI119=$G118+$H118,1,0)+IF(AI120=$I$120,3,0)+IF(AI121=$G120+$H120,1,0)+IF(AI122=$I$122,3,0)+IF(AI123=$G122+$H122,1,0)+IF(AI124=$I$124,3,0)+IF(AI125=$G124+$H124,1,0)+IF(AI126=$I$126,3,0)+IF(AI127=$G126+$H126,1,0)+IF(AI128=$I$128,3,0)+IF(AI129=$G128+$H128,1,0)+IF(AI130=$I$130,3,0)+IF(AI131=$G130+$H130,1,0)+IF(AI132=$I$132,3,0)+IF(AI133=$G132+$H132,1,0)+IF(AI134=$I$134,3,0)+IF(AI135=$G134+$H134,1,0)+IF(AI136=$I$136,3,0)+IF(AI137=$G136+$H136,1,0)+IF(AI138=$I$138,3,0)+IF(AI139=$G138+$H138,1,0)+IF(AI140=$I$140,3,0)+IF(AI141=$G140+$H140,1,0)+IF(AI142=$I$142,3,0)+IF(AI143=$G142+$H142,1,0)+IF(AI144=$I$144,3,0)+IF(AI145=$G144+$H144,1,0)+IF(AI146=$I$146,3,0)+IF(AI147=$G146+$H146,1,0)+IF(AI148=$I$148,3,0)+IF(AI149=$G148+$H148,1,0)+IF(AI150=$I$150,3,0)+IF(AI151=$G150+$H150,1,0))</f>
        <v>20</v>
      </c>
      <c r="AJ5" s="75">
        <f>SUM(IF(AJ80=$I$80,3,0)+IF(AJ81=$G80+$H80,1,0)+IF(AJ82=$I$82,3,0)+IF(AJ83=$G82+$H82,1,0)+IF(AJ84=$I$84,3,0)+IF(AJ85=$G84+$H84,1,0)+IF(AJ86=$I$86,3,0)+IF(AJ87=$G86+$H86,1,0)+IF(AJ88=$I$88,3,0)+IF(AJ89=$G88+$H88,1,0)+IF(AJ90=$I$90,3,0)+IF(AJ91=$G90+$H90,1,0)+IF(AJ92=$I$92,3,0)+IF(AJ93=$G92+$H92,1,0)+IF(AJ94=$I$94,3,0)+IF(AJ95=$G94+$H94,1,0)+IF(AJ96=$I$96,3,0)+IF(AJ97=$G96+$H96,1,0)+IF(AJ98=$I$98,3,0)+IF(AJ99=$G98+$H98,1,0)+IF(AJ100=$I$100,3,0)+IF(AJ101=$G100+$H100,1,0)+IF(AJ102=$I$102,3,0)+IF(AJ103=$G102+$H102,1,0)+IF(AJ104=$I$104,3,0)+IF(AJ105=$G104+$H104,1,0)+IF(AJ106=$I$106,3,0)+IF(AJ107=$G106+$H106,1,0)+IF(AJ108=$I$108,3,0)+IF(AJ109=$G108+$H108,1,0)+IF(AJ110=$I$110,3,0)+IF(AJ111=$G110+$H110,1,0)+IF(AJ112=$I$112,3,0)+IF(AJ113=$G112+$H112,1,0)+IF(AJ114=$I$114,3,0)+IF(AJ115=$G114+$H114,1,0)+IF(AJ116=$I$116,3,0)+IF(AJ117=$G116+$H116,1,0)+IF(AJ118=$I$118,3,0)+IF(AJ119=$G118+$H118,1,0)+IF(AJ120=$I$120,3,0)+IF(AJ121=$G120+$H120,1,0)+IF(AJ122=$I$122,3,0)+IF(AJ123=$G122+$H122,1,0)+IF(AJ124=$I$124,3,0)+IF(AJ125=$G124+$H124,1,0)+IF(AJ126=$I$126,3,0)+IF(AJ127=$G126+$H126,1,0)+IF(AJ128=$I$128,3,0)+IF(AJ129=$G128+$H128,1,0)+IF(AJ130=$I$130,3,0)+IF(AJ131=$G130+$H130,1,0)+IF(AJ132=$I$132,3,0)+IF(AJ133=$G132+$H132,1,0)+IF(AJ134=$I$134,3,0)+IF(AJ135=$G134+$H134,1,0)+IF(AJ136=$I$136,3,0)+IF(AJ137=$G136+$H136,1,0)+IF(AJ138=$I$138,3,0)+IF(AJ139=$G138+$H138,1,0)+IF(AJ140=$I$140,3,0)+IF(AJ141=$G140+$H140,1,0)+IF(AJ142=$I$142,3,0)+IF(AJ143=$G142+$H142,1,0)+IF(AJ144=$I$144,3,0)+IF(AJ145=$G144+$H144,1,0)+IF(AJ146=$I$146,3,0)+IF(AJ147=$G146+$H146,1,0)+IF(AJ148=$I$148,3,0)+IF(AJ149=$G148+$H148,1,0)+IF(AJ150=$I$150,3,0)+IF(AJ151=$G150+$H150,1,0))</f>
        <v>26</v>
      </c>
      <c r="AK5" s="75">
        <f>SUM(IF(AK80=$I$80,3,0)+IF(AK81=$G80+$H80,1,0)+IF(AK82=$I$82,3,0)+IF(AK83=$G82+$H82,1,0)+IF(AK84=$I$84,3,0)+IF(AK85=$G84+$H84,1,0)+IF(AK86=$I$86,3,0)+IF(AK87=$G86+$H86,1,0)+IF(AK88=$I$88,3,0)+IF(AK89=$G88+$H88,1,0)+IF(AK90=$I$90,3,0)+IF(AK91=$G90+$H90,1,0)+IF(AK92=$I$92,3,0)+IF(AK93=$G92+$H92,1,0)+IF(AK94=$I$94,3,0)+IF(AK95=$G94+$H94,1,0)+IF(AK96=$I$96,3,0)+IF(AK97=$G96+$H96,1,0)+IF(AK98=$I$98,3,0)+IF(AK99=$G98+$H98,1,0)+IF(AK100=$I$100,3,0)+IF(AK101=$G100+$H100,1,0)+IF(AK102=$I$102,3,0)+IF(AK103=$G102+$H102,1,0)+IF(AK104=$I$104,3,0)+IF(AK105=$G104+$H104,1,0)+IF(AK106=$I$106,3,0)+IF(AK107=$G106+$H106,1,0)+IF(AK108=$I$108,3,0)+IF(AK109=$G108+$H108,1,0)+IF(AK110=$I$110,3,0)+IF(AK111=$G110+$H110,1,0)+IF(AK112=$I$112,3,0)+IF(AK113=$G112+$H112,1,0)+IF(AK114=$I$114,3,0)+IF(AK115=$G114+$H114,1,0)+IF(AK116=$I$116,3,0)+IF(AK117=$G116+$H116,1,0)+IF(AK118=$I$118,3,0)+IF(AK119=$G118+$H118,1,0)+IF(AK120=$I$120,3,0)+IF(AK121=$G120+$H120,1,0)+IF(AK122=$I$122,3,0)+IF(AK123=$G122+$H122,1,0)+IF(AK124=$I$124,3,0)+IF(AK125=$G124+$H124,1,0)+IF(AK126=$I$126,3,0)+IF(AK127=$G126+$H126,1,0)+IF(AK128=$I$128,3,0)+IF(AK129=$G128+$H128,1,0)+IF(AK130=$I$130,3,0)+IF(AK131=$G130+$H130,1,0)+IF(AK132=$I$132,3,0)+IF(AK133=$G132+$H132,1,0)+IF(AK134=$I$134,3,0)+IF(AK135=$G134+$H134,1,0)+IF(AK136=$I$136,3,0)+IF(AK137=$G136+$H136,1,0)+IF(AK138=$I$138,3,0)+IF(AK139=$G138+$H138,1,0)+IF(AK140=$I$140,3,0)+IF(AK141=$G140+$H140,1,0)+IF(AK142=$I$142,3,0)+IF(AK143=$G142+$H142,1,0)+IF(AK144=$I$144,3,0)+IF(AK145=$G144+$H144,1,0)+IF(AK146=$I$146,3,0)+IF(AK147=$G146+$H146,1,0)+IF(AK148=$I$148,3,0)+IF(AK149=$G148+$H148,1,0)+IF(AK150=$I$150,3,0)+IF(AK151=$G150+$H150,1,0))</f>
        <v>22</v>
      </c>
      <c r="AL5" s="75">
        <f>SUM(IF(AL80=$I$80,3,0)+IF(AL81=$G80+$H80,1,0)+IF(AL82=$I$82,3,0)+IF(AL83=$G82+$H82,1,0)+IF(AL84=$I$84,3,0)+IF(AL85=$G84+$H84,1,0)+IF(AL86=$I$86,3,0)+IF(AL87=$G86+$H86,1,0)+IF(AL88=$I$88,3,0)+IF(AL89=$G88+$H88,1,0)+IF(AL90=$I$90,3,0)+IF(AL91=$G90+$H90,1,0)+IF(AL92=$I$92,3,0)+IF(AL93=$G92+$H92,1,0)+IF(AL94=$I$94,3,0)+IF(AL95=$G94+$H94,1,0)+IF(AL96=$I$96,3,0)+IF(AL97=$G96+$H96,1,0)+IF(AL98=$I$98,3,0)+IF(AL99=$G98+$H98,1,0)+IF(AL100=$I$100,3,0)+IF(AL101=$G100+$H100,1,0)+IF(AL102=$I$102,3,0)+IF(AL103=$G102+$H102,1,0)+IF(AL104=$I$104,3,0)+IF(AL105=$G104+$H104,1,0)+IF(AL106=$I$106,3,0)+IF(AL107=$G106+$H106,1,0)+IF(AL108=$I$108,3,0)+IF(AL109=$G108+$H108,1,0)+IF(AL110=$I$110,3,0)+IF(AL111=$G110+$H110,1,0)+IF(AL112=$I$112,3,0)+IF(AL113=$G112+$H112,1,0)+IF(AL114=$I$114,3,0)+IF(AL115=$G114+$H114,1,0)+IF(AL116=$I$116,3,0)+IF(AL117=$G116+$H116,1,0)+IF(AL118=$I$118,3,0)+IF(AL119=$G118+$H118,1,0)+IF(AL120=$I$120,3,0)+IF(AL121=$G120+$H120,1,0)+IF(AL122=$I$122,3,0)+IF(AL123=$G122+$H122,1,0)+IF(AL124=$I$124,3,0)+IF(AL125=$G124+$H124,1,0)+IF(AL126=$I$126,3,0)+IF(AL127=$G126+$H126,1,0)+IF(AL128=$I$128,3,0)+IF(AL129=$G128+$H128,1,0)+IF(AL130=$I$130,3,0)+IF(AL131=$G130+$H130,1,0)+IF(AL132=$I$132,3,0)+IF(AL133=$G132+$H132,1,0)+IF(AL134=$I$134,3,0)+IF(AL135=$G134+$H134,1,0)+IF(AL136=$I$136,3,0)+IF(AL137=$G136+$H136,1,0)+IF(AL138=$I$138,3,0)+IF(AL139=$G138+$H138,1,0)+IF(AL140=$I$140,3,0)+IF(AL141=$G140+$H140,1,0)+IF(AL142=$I$142,3,0)+IF(AL143=$G142+$H142,1,0)+IF(AL144=$I$144,3,0)+IF(AL145=$G144+$H144,1,0)+IF(AL146=$I$146,3,0)+IF(AL147=$G146+$H146,1,0)+IF(AL148=$I$148,3,0)+IF(AL149=$G148+$H148,1,0)+IF(AL150=$I$150,3,0)+IF(AL151=$G150+$H150,1,0))</f>
        <v>25</v>
      </c>
      <c r="AM5" s="75">
        <f>SUM(IF(AM80=$I$80,3,0)+IF(AM81=$G80+$H80,1,0)+IF(AM82=$I$82,3,0)+IF(AM83=$G82+$H82,1,0)+IF(AM84=$I$84,3,0)+IF(AM85=$G84+$H84,1,0)+IF(AM86=$I$86,3,0)+IF(AM87=$G86+$H86,1,0)+IF(AM88=$I$88,3,0)+IF(AM89=$G88+$H88,1,0)+IF(AM90=$I$90,3,0)+IF(AM91=$G90+$H90,1,0)+IF(AM92=$I$92,3,0)+IF(AM93=$G92+$H92,1,0)+IF(AM94=$I$94,3,0)+IF(AM95=$G94+$H94,1,0)+IF(AM96=$I$96,3,0)+IF(AM97=$G96+$H96,1,0)+IF(AM98=$I$98,3,0)+IF(AM99=$G98+$H98,1,0)+IF(AM100=$I$100,3,0)+IF(AM101=$G100+$H100,1,0)+IF(AM102=$I$102,3,0)+IF(AM103=$G102+$H102,1,0)+IF(AM104=$I$104,3,0)+IF(AM105=$G104+$H104,1,0)+IF(AM106=$I$106,3,0)+IF(AM107=$G106+$H106,1,0)+IF(AM108=$I$108,3,0)+IF(AM109=$G108+$H108,1,0)+IF(AM110=$I$110,3,0)+IF(AM111=$G110+$H110,1,0)+IF(AM112=$I$112,3,0)+IF(AM113=$G112+$H112,1,0)+IF(AM114=$I$114,3,0)+IF(AM115=$G114+$H114,1,0)+IF(AM116=$I$116,3,0)+IF(AM117=$G116+$H116,1,0)+IF(AM118=$I$118,3,0)+IF(AM119=$G118+$H118,1,0)+IF(AM120=$I$120,3,0)+IF(AM121=$G120+$H120,1,0)+IF(AM122=$I$122,3,0)+IF(AM123=$G122+$H122,1,0)+IF(AM124=$I$124,3,0)+IF(AM125=$G124+$H124,1,0)+IF(AM126=$I$126,3,0)+IF(AM127=$G126+$H126,1,0)+IF(AM128=$I$128,3,0)+IF(AM129=$G128+$H128,1,0)+IF(AM130=$I$130,3,0)+IF(AM131=$G130+$H130,1,0)+IF(AM132=$I$132,3,0)+IF(AM133=$G132+$H132,1,0)+IF(AM134=$I$134,3,0)+IF(AM135=$G134+$H134,1,0)+IF(AM136=$I$136,3,0)+IF(AM137=$G136+$H136,1,0)+IF(AM138=$I$138,3,0)+IF(AM139=$G138+$H138,1,0)+IF(AM140=$I$140,3,0)+IF(AM141=$G140+$H140,1,0)+IF(AM142=$I$142,3,0)+IF(AM143=$G142+$H142,1,0)+IF(AM144=$I$144,3,0)+IF(AM145=$G144+$H144,1,0)+IF(AM146=$I$146,3,0)+IF(AM147=$G146+$H146,1,0)+IF(AM148=$I$148,3,0)+IF(AM149=$G148+$H148,1,0)+IF(AM150=$I$150,3,0)+IF(AM151=$G150+$H150,1,0))</f>
        <v>23</v>
      </c>
      <c r="AN5" s="75">
        <f>SUM(IF(AN80=$I$80,3,0)+IF(AN81=$G80+$H80,1,0)+IF(AN82=$I$82,3,0)+IF(AN83=$G82+$H82,1,0)+IF(AN84=$I$84,3,0)+IF(AN85=$G84+$H84,1,0)+IF(AN86=$I$86,3,0)+IF(AN87=$G86+$H86,1,0)+IF(AN88=$I$88,3,0)+IF(AN89=$G88+$H88,1,0)+IF(AN90=$I$90,3,0)+IF(AN91=$G90+$H90,1,0)+IF(AN92=$I$92,3,0)+IF(AN93=$G92+$H92,1,0)+IF(AN94=$I$94,3,0)+IF(AN95=$G94+$H94,1,0)+IF(AN96=$I$96,3,0)+IF(AN97=$G96+$H96,1,0)+IF(AN98=$I$98,3,0)+IF(AN99=$G98+$H98,1,0)+IF(AN100=$I$100,3,0)+IF(AN101=$G100+$H100,1,0)+IF(AN102=$I$102,3,0)+IF(AN103=$G102+$H102,1,0)+IF(AN104=$I$104,3,0)+IF(AN105=$G104+$H104,1,0)+IF(AN106=$I$106,3,0)+IF(AN107=$G106+$H106,1,0)+IF(AN108=$I$108,3,0)+IF(AN109=$G108+$H108,1,0)+IF(AN110=$I$110,3,0)+IF(AN111=$G110+$H110,1,0)+IF(AN112=$I$112,3,0)+IF(AN113=$G112+$H112,1,0)+IF(AN114=$I$114,3,0)+IF(AN115=$G114+$H114,1,0)+IF(AN116=$I$116,3,0)+IF(AN117=$G116+$H116,1,0)+IF(AN118=$I$118,3,0)+IF(AN119=$G118+$H118,1,0)+IF(AN120=$I$120,3,0)+IF(AN121=$G120+$H120,1,0)+IF(AN122=$I$122,3,0)+IF(AN123=$G122+$H122,1,0)+IF(AN124=$I$124,3,0)+IF(AN125=$G124+$H124,1,0)+IF(AN126=$I$126,3,0)+IF(AN127=$G126+$H126,1,0)+IF(AN128=$I$128,3,0)+IF(AN129=$G128+$H128,1,0)+IF(AN130=$I$130,3,0)+IF(AN131=$G130+$H130,1,0)+IF(AN132=$I$132,3,0)+IF(AN133=$G132+$H132,1,0)+IF(AN134=$I$134,3,0)+IF(AN135=$G134+$H134,1,0)+IF(AN136=$I$136,3,0)+IF(AN137=$G136+$H136,1,0)+IF(AN138=$I$138,3,0)+IF(AN139=$G138+$H138,1,0)+IF(AN140=$I$140,3,0)+IF(AN141=$G140+$H140,1,0)+IF(AN142=$I$142,3,0)+IF(AN143=$G142+$H142,1,0)+IF(AN144=$I$144,3,0)+IF(AN145=$G144+$H144,1,0)+IF(AN146=$I$146,3,0)+IF(AN147=$G146+$H146,1,0)+IF(AN148=$I$148,3,0)+IF(AN149=$G148+$H148,1,0)+IF(AN150=$I$150,3,0)+IF(AN151=$G150+$H150,1,0))</f>
        <v>23</v>
      </c>
      <c r="AO5" s="75">
        <f>SUM(IF(AO80=$I$80,3,0)+IF(AO81=$G80+$H80,1,0)+IF(AO82=$I$82,3,0)+IF(AO83=$G82+$H82,1,0)+IF(AO84=$I$84,3,0)+IF(AO85=$G84+$H84,1,0)+IF(AO86=$I$86,3,0)+IF(AO87=$G86+$H86,1,0)+IF(AO88=$I$88,3,0)+IF(AO89=$G88+$H88,1,0)+IF(AO90=$I$90,3,0)+IF(AO91=$G90+$H90,1,0)+IF(AO92=$I$92,3,0)+IF(AO93=$G92+$H92,1,0)+IF(AO94=$I$94,3,0)+IF(AO95=$G94+$H94,1,0)+IF(AO96=$I$96,3,0)+IF(AO97=$G96+$H96,1,0)+IF(AO98=$I$98,3,0)+IF(AO99=$G98+$H98,1,0)+IF(AO100=$I$100,3,0)+IF(AO101=$G100+$H100,1,0)+IF(AO102=$I$102,3,0)+IF(AO103=$G102+$H102,1,0)+IF(AO104=$I$104,3,0)+IF(AO105=$G104+$H104,1,0)+IF(AO106=$I$106,3,0)+IF(AO107=$G106+$H106,1,0)+IF(AO108=$I$108,3,0)+IF(AO109=$G108+$H108,1,0)+IF(AO110=$I$110,3,0)+IF(AO111=$G110+$H110,1,0)+IF(AO112=$I$112,3,0)+IF(AO113=$G112+$H112,1,0)+IF(AO114=$I$114,3,0)+IF(AO115=$G114+$H114,1,0)+IF(AO116=$I$116,3,0)+IF(AO117=$G116+$H116,1,0)+IF(AO118=$I$118,3,0)+IF(AO119=$G118+$H118,1,0)+IF(AO120=$I$120,3,0)+IF(AO121=$G120+$H120,1,0)+IF(AO122=$I$122,3,0)+IF(AO123=$G122+$H122,1,0)+IF(AO124=$I$124,3,0)+IF(AO125=$G124+$H124,1,0)+IF(AO126=$I$126,3,0)+IF(AO127=$G126+$H126,1,0)+IF(AO128=$I$128,3,0)+IF(AO129=$G128+$H128,1,0)+IF(AO130=$I$130,3,0)+IF(AO131=$G130+$H130,1,0)+IF(AO132=$I$132,3,0)+IF(AO133=$G132+$H132,1,0)+IF(AO134=$I$134,3,0)+IF(AO135=$G134+$H134,1,0)+IF(AO136=$I$136,3,0)+IF(AO137=$G136+$H136,1,0)+IF(AO138=$I$138,3,0)+IF(AO139=$G138+$H138,1,0)+IF(AO140=$I$140,3,0)+IF(AO141=$G140+$H140,1,0)+IF(AO142=$I$142,3,0)+IF(AO143=$G142+$H142,1,0)+IF(AO144=$I$144,3,0)+IF(AO145=$G144+$H144,1,0)+IF(AO146=$I$146,3,0)+IF(AO147=$G146+$H146,1,0)+IF(AO148=$I$148,3,0)+IF(AO149=$G148+$H148,1,0)+IF(AO150=$I$150,3,0)+IF(AO151=$G150+$H150,1,0))</f>
        <v>24</v>
      </c>
      <c r="AP5" s="75">
        <f>SUM(IF(AP80=$I$80,3,0)+IF(AP81=$G80+$H80,1,0)+IF(AP82=$I$82,3,0)+IF(AP83=$G82+$H82,1,0)+IF(AP84=$I$84,3,0)+IF(AP85=$G84+$H84,1,0)+IF(AP86=$I$86,3,0)+IF(AP87=$G86+$H86,1,0)+IF(AP88=$I$88,3,0)+IF(AP89=$G88+$H88,1,0)+IF(AP90=$I$90,3,0)+IF(AP91=$G90+$H90,1,0)+IF(AP92=$I$92,3,0)+IF(AP93=$G92+$H92,1,0)+IF(AP94=$I$94,3,0)+IF(AP95=$G94+$H94,1,0)+IF(AP96=$I$96,3,0)+IF(AP97=$G96+$H96,1,0)+IF(AP98=$I$98,3,0)+IF(AP99=$G98+$H98,1,0)+IF(AP100=$I$100,3,0)+IF(AP101=$G100+$H100,1,0)+IF(AP102=$I$102,3,0)+IF(AP103=$G102+$H102,1,0)+IF(AP104=$I$104,3,0)+IF(AP105=$G104+$H104,1,0)+IF(AP106=$I$106,3,0)+IF(AP107=$G106+$H106,1,0)+IF(AP108=$I$108,3,0)+IF(AP109=$G108+$H108,1,0)+IF(AP110=$I$110,3,0)+IF(AP111=$G110+$H110,1,0)+IF(AP112=$I$112,3,0)+IF(AP113=$G112+$H112,1,0)+IF(AP114=$I$114,3,0)+IF(AP115=$G114+$H114,1,0)+IF(AP116=$I$116,3,0)+IF(AP117=$G116+$H116,1,0)+IF(AP118=$I$118,3,0)+IF(AP119=$G118+$H118,1,0)+IF(AP120=$I$120,3,0)+IF(AP121=$G120+$H120,1,0)+IF(AP122=$I$122,3,0)+IF(AP123=$G122+$H122,1,0)+IF(AP124=$I$124,3,0)+IF(AP125=$G124+$H124,1,0)+IF(AP126=$I$126,3,0)+IF(AP127=$G126+$H126,1,0)+IF(AP128=$I$128,3,0)+IF(AP129=$G128+$H128,1,0)+IF(AP130=$I$130,3,0)+IF(AP131=$G130+$H130,1,0)+IF(AP132=$I$132,3,0)+IF(AP133=$G132+$H132,1,0)+IF(AP134=$I$134,3,0)+IF(AP135=$G134+$H134,1,0)+IF(AP136=$I$136,3,0)+IF(AP137=$G136+$H136,1,0)+IF(AP138=$I$138,3,0)+IF(AP139=$G138+$H138,1,0)+IF(AP140=$I$140,3,0)+IF(AP141=$G140+$H140,1,0)+IF(AP142=$I$142,3,0)+IF(AP143=$G142+$H142,1,0)+IF(AP144=$I$144,3,0)+IF(AP145=$G144+$H144,1,0)+IF(AP146=$I$146,3,0)+IF(AP147=$G146+$H146,1,0)+IF(AP148=$I$148,3,0)+IF(AP149=$G148+$H148,1,0)+IF(AP150=$I$150,3,0)+IF(AP151=$G150+$H150,1,0))</f>
        <v>21</v>
      </c>
      <c r="AQ5" s="75">
        <f>SUM(IF(AQ80=$I$80,3,0)+IF(AQ81=$G80+$H80,1,0)+IF(AQ82=$I$82,3,0)+IF(AQ83=$G82+$H82,1,0)+IF(AQ84=$I$84,3,0)+IF(AQ85=$G84+$H84,1,0)+IF(AQ86=$I$86,3,0)+IF(AQ87=$G86+$H86,1,0)+IF(AQ88=$I$88,3,0)+IF(AQ89=$G88+$H88,1,0)+IF(AQ90=$I$90,3,0)+IF(AQ91=$G90+$H90,1,0)+IF(AQ92=$I$92,3,0)+IF(AQ93=$G92+$H92,1,0)+IF(AQ94=$I$94,3,0)+IF(AQ95=$G94+$H94,1,0)+IF(AQ96=$I$96,3,0)+IF(AQ97=$G96+$H96,1,0)+IF(AQ98=$I$98,3,0)+IF(AQ99=$G98+$H98,1,0)+IF(AQ100=$I$100,3,0)+IF(AQ101=$G100+$H100,1,0)+IF(AQ102=$I$102,3,0)+IF(AQ103=$G102+$H102,1,0)+IF(AQ104=$I$104,3,0)+IF(AQ105=$G104+$H104,1,0)+IF(AQ106=$I$106,3,0)+IF(AQ107=$G106+$H106,1,0)+IF(AQ108=$I$108,3,0)+IF(AQ109=$G108+$H108,1,0)+IF(AQ110=$I$110,3,0)+IF(AQ111=$G110+$H110,1,0)+IF(AQ112=$I$112,3,0)+IF(AQ113=$G112+$H112,1,0)+IF(AQ114=$I$114,3,0)+IF(AQ115=$G114+$H114,1,0)+IF(AQ116=$I$116,3,0)+IF(AQ117=$G116+$H116,1,0)+IF(AQ118=$I$118,3,0)+IF(AQ119=$G118+$H118,1,0)+IF(AQ120=$I$120,3,0)+IF(AQ121=$G120+$H120,1,0)+IF(AQ122=$I$122,3,0)+IF(AQ123=$G122+$H122,1,0)+IF(AQ124=$I$124,3,0)+IF(AQ125=$G124+$H124,1,0)+IF(AQ126=$I$126,3,0)+IF(AQ127=$G126+$H126,1,0)+IF(AQ128=$I$128,3,0)+IF(AQ129=$G128+$H128,1,0)+IF(AQ130=$I$130,3,0)+IF(AQ131=$G130+$H130,1,0)+IF(AQ132=$I$132,3,0)+IF(AQ133=$G132+$H132,1,0)+IF(AQ134=$I$134,3,0)+IF(AQ135=$G134+$H134,1,0)+IF(AQ136=$I$136,3,0)+IF(AQ137=$G136+$H136,1,0)+IF(AQ138=$I$138,3,0)+IF(AQ139=$G138+$H138,1,0)+IF(AQ140=$I$140,3,0)+IF(AQ141=$G140+$H140,1,0)+IF(AQ142=$I$142,3,0)+IF(AQ143=$G142+$H142,1,0)+IF(AQ144=$I$144,3,0)+IF(AQ145=$G144+$H144,1,0)+IF(AQ146=$I$146,3,0)+IF(AQ147=$G146+$H146,1,0)+IF(AQ148=$I$148,3,0)+IF(AQ149=$G148+$H148,1,0)+IF(AQ150=$I$150,3,0)+IF(AQ151=$G150+$H150,1,0))</f>
        <v>21</v>
      </c>
      <c r="AR5" s="75">
        <f>SUM(IF(AR80=$I$80,3,0)+IF(AR81=$G80+$H80,1,0)+IF(AR82=$I$82,3,0)+IF(AR83=$G82+$H82,1,0)+IF(AR84=$I$84,3,0)+IF(AR85=$G84+$H84,1,0)+IF(AR86=$I$86,3,0)+IF(AR87=$G86+$H86,1,0)+IF(AR88=$I$88,3,0)+IF(AR89=$G88+$H88,1,0)+IF(AR90=$I$90,3,0)+IF(AR91=$G90+$H90,1,0)+IF(AR92=$I$92,3,0)+IF(AR93=$G92+$H92,1,0)+IF(AR94=$I$94,3,0)+IF(AR95=$G94+$H94,1,0)+IF(AR96=$I$96,3,0)+IF(AR97=$G96+$H96,1,0)+IF(AR98=$I$98,3,0)+IF(AR99=$G98+$H98,1,0)+IF(AR100=$I$100,3,0)+IF(AR101=$G100+$H100,1,0)+IF(AR102=$I$102,3,0)+IF(AR103=$G102+$H102,1,0)+IF(AR104=$I$104,3,0)+IF(AR105=$G104+$H104,1,0)+IF(AR106=$I$106,3,0)+IF(AR107=$G106+$H106,1,0)+IF(AR108=$I$108,3,0)+IF(AR109=$G108+$H108,1,0)+IF(AR110=$I$110,3,0)+IF(AR111=$G110+$H110,1,0)+IF(AR112=$I$112,3,0)+IF(AR113=$G112+$H112,1,0)+IF(AR114=$I$114,3,0)+IF(AR115=$G114+$H114,1,0)+IF(AR116=$I$116,3,0)+IF(AR117=$G116+$H116,1,0)+IF(AR118=$I$118,3,0)+IF(AR119=$G118+$H118,1,0)+IF(AR120=$I$120,3,0)+IF(AR121=$G120+$H120,1,0)+IF(AR122=$I$122,3,0)+IF(AR123=$G122+$H122,1,0)+IF(AR124=$I$124,3,0)+IF(AR125=$G124+$H124,1,0)+IF(AR126=$I$126,3,0)+IF(AR127=$G126+$H126,1,0)+IF(AR128=$I$128,3,0)+IF(AR129=$G128+$H128,1,0)+IF(AR130=$I$130,3,0)+IF(AR131=$G130+$H130,1,0)+IF(AR132=$I$132,3,0)+IF(AR133=$G132+$H132,1,0)+IF(AR134=$I$134,3,0)+IF(AR135=$G134+$H134,1,0)+IF(AR136=$I$136,3,0)+IF(AR137=$G136+$H136,1,0)+IF(AR138=$I$138,3,0)+IF(AR139=$G138+$H138,1,0)+IF(AR140=$I$140,3,0)+IF(AR141=$G140+$H140,1,0)+IF(AR142=$I$142,3,0)+IF(AR143=$G142+$H142,1,0)+IF(AR144=$I$144,3,0)+IF(AR145=$G144+$H144,1,0)+IF(AR146=$I$146,3,0)+IF(AR147=$G146+$H146,1,0)+IF(AR148=$I$148,3,0)+IF(AR149=$G148+$H148,1,0)+IF(AR150=$I$150,3,0)+IF(AR151=$G150+$H150,1,0))</f>
        <v>18</v>
      </c>
      <c r="AS5" s="163">
        <f>SUM(IF(AS80=$I$80,3,0)+IF(AS81=$G80+$H80,1,0)+IF(AS82=$I$82,3,0)+IF(AS83=$G82+$H82,1,0)+IF(AS84=$I$84,3,0)+IF(AS85=$G84+$H84,1,0)+IF(AS86=$I$86,3,0)+IF(AS87=$G86+$H86,1,0)+IF(AS88=$I$88,3,0)+IF(AS89=$G88+$H88,1,0)+IF(AS90=$I$90,3,0)+IF(AS91=$G90+$H90,1,0)+IF(AS92=$I$92,3,0)+IF(AS93=$G92+$H92,1,0)+IF(AS94=$I$94,3,0)+IF(AS95=$G94+$H94,1,0)+IF(AS96=$I$96,3,0)+IF(AS97=$G96+$H96,1,0)+IF(AS98=$I$98,3,0)+IF(AS99=$G98+$H98,1,0)+IF(AS100=$I$100,3,0)+IF(AS101=$G100+$H100,1,0)+IF(AS102=$I$102,3,0)+IF(AS103=$G102+$H102,1,0)+IF(AS104=$I$104,3,0)+IF(AS105=$G104+$H104,1,0)+IF(AS106=$I$106,3,0)+IF(AS107=$G106+$H106,1,0)+IF(AS108=$I$108,3,0)+IF(AS109=$G108+$H108,1,0)+IF(AS110=$I$110,3,0)+IF(AS111=$G110+$H110,1,0)+IF(AS112=$I$112,3,0)+IF(AS113=$G112+$H112,1,0)+IF(AS114=$I$114,3,0)+IF(AS115=$G114+$H114,1,0)+IF(AS116=$I$116,3,0)+IF(AS117=$G116+$H116,1,0)+IF(AS118=$I$118,3,0)+IF(AS119=$G118+$H118,1,0)+IF(AS120=$I$120,3,0)+IF(AS121=$G120+$H120,1,0)+IF(AS122=$I$122,3,0)+IF(AS123=$G122+$H122,1,0)+IF(AS124=$I$124,3,0)+IF(AS125=$G124+$H124,1,0)+IF(AS126=$I$126,3,0)+IF(AS127=$G126+$H126,1,0)+IF(AS128=$I$128,3,0)+IF(AS129=$G128+$H128,1,0)+IF(AS130=$I$130,3,0)+IF(AS131=$G130+$H130,1,0)+IF(AS132=$I$132,3,0)+IF(AS133=$G132+$H132,1,0)+IF(AS134=$I$134,3,0)+IF(AS135=$G134+$H134,1,0)+IF(AS136=$I$136,3,0)+IF(AS137=$G136+$H136,1,0)+IF(AS138=$I$138,3,0)+IF(AS139=$G138+$H138,1,0)+IF(AS140=$I$140,3,0)+IF(AS141=$G140+$H140,1,0)+IF(AS142=$I$142,3,0)+IF(AS143=$G142+$H142,1,0)+IF(AS144=$I$144,3,0)+IF(AS145=$G144+$H144,1,0)+IF(AS146=$I$146,3,0)+IF(AS147=$G146+$H146,1,0)+IF(AS148=$I$148,3,0)+IF(AS149=$G148+$H148,1,0)+IF(AS150=$I$150,3,0)+IF(AS151=$G150+$H150,1,0))</f>
        <v>17</v>
      </c>
      <c r="AT5" s="79">
        <f>SUM(IF(AT80=$I$80,3,0)+IF(AT81=$G80+$H80,1,0)+IF(AT82=$I$82,3,0)+IF(AT83=$G82+$H82,1,0)+IF(AT84=$I$84,3,0)+IF(AT85=$G84+$H84,1,0)+IF(AT86=$I$86,3,0)+IF(AT87=$G86+$H86,1,0)+IF(AT88=$I$88,3,0)+IF(AT89=$G88+$H88,1,0)+IF(AT90=$I$90,3,0)+IF(AT91=$G90+$H90,1,0)+IF(AT92=$I$92,3,0)+IF(AT93=$G92+$H92,1,0)+IF(AT94=$I$94,3,0)+IF(AT95=$G94+$H94,1,0)+IF(AT96=$I$96,3,0)+IF(AT97=$G96+$H96,1,0)+IF(AT98=$I$98,3,0)+IF(AT99=$G98+$H98,1,0)+IF(AT100=$I$100,3,0)+IF(AT101=$G100+$H100,1,0)+IF(AT102=$I$102,3,0)+IF(AT103=$G102+$H102,1,0)+IF(AT104=$I$104,3,0)+IF(AT105=$G104+$H104,1,0)+IF(AT106=$I$106,3,0)+IF(AT107=$G106+$H106,1,0)+IF(AT108=$I$108,3,0)+IF(AT109=$G108+$H108,1,0)+IF(AT110=$I$110,3,0)+IF(AT111=$G110+$H110,1,0)+IF(AT112=$I$112,3,0)+IF(AT113=$G112+$H112,1,0)+IF(AT114=$I$114,3,0)+IF(AT115=$G114+$H114,1,0)+IF(AT116=$I$116,3,0)+IF(AT117=$G116+$H116,1,0)+IF(AT118=$I$118,3,0)+IF(AT119=$G118+$H118,1,0)+IF(AT120=$I$120,3,0)+IF(AT121=$G120+$H120,1,0)+IF(AT122=$I$122,3,0)+IF(AT123=$G122+$H122,1,0)+IF(AT124=$I$124,3,0)+IF(AT125=$G124+$H124,1,0)+IF(AT126=$I$126,3,0)+IF(AT127=$G126+$H126,1,0)+IF(AT128=$I$128,3,0)+IF(AT129=$G128+$H128,1,0)+IF(AT130=$I$130,3,0)+IF(AT131=$G130+$H130,1,0)+IF(AT132=$I$132,3,0)+IF(AT133=$G132+$H132,1,0)+IF(AT134=$I$134,3,0)+IF(AT135=$G134+$H134,1,0)+IF(AT136=$I$136,3,0)+IF(AT137=$G136+$H136,1,0)+IF(AT138=$I$138,3,0)+IF(AT139=$G138+$H138,1,0)+IF(AT140=$I$140,3,0)+IF(AT141=$G140+$H140,1,0)+IF(AT142=$I$142,3,0)+IF(AT143=$G142+$H142,1,0)+IF(AT144=$I$144,3,0)+IF(AT145=$G144+$H144,1,0)+IF(AT146=$I$146,3,0)+IF(AT147=$G146+$H146,1,0)+IF(AT148=$I$148,3,0)+IF(AT149=$G148+$H148,1,0)+IF(AT150=$I$150,3,0)+IF(AT151=$G150+$H150,1,0))</f>
        <v>18</v>
      </c>
    </row>
    <row r="6" spans="1:54" ht="14.4" hidden="1" x14ac:dyDescent="0.3">
      <c r="A6" s="61"/>
      <c r="B6" s="61"/>
      <c r="C6" s="61"/>
      <c r="D6" s="61"/>
      <c r="E6" s="61"/>
      <c r="F6" s="61"/>
      <c r="G6" s="62"/>
      <c r="H6" s="62"/>
      <c r="I6" s="63"/>
      <c r="J6" s="74">
        <f>SUM(AND($G$8="",$H$8="",J9=0)+AND($G$10="",$H$10="",J11=0)+AND($G$12="",$H$12="",J13=0)+AND($G$14="",$H$14="",J15=0)+AND($G$16="",$H$16="",J17=0)+AND($G$18="",$H$18="",J19=0)+AND($G$20="",$H$20="",J21=0)+AND($G$22="",$H$22="",J23=0)+AND($G$24="",$H$24="",J25=0)+AND($G$26="",$H$26="",J27=0)+AND($G$28="",$H$28="",J29=0)+AND($G$30="",$H$30="",J31=0)+AND($G$32="",$H$32="",J33=0)+AND($G$34="",$H$34="",J35=0)+AND($G$36="",$H$36="",J37=0)+AND($G$38="",$H$38="",J39=0)+AND($G$40="",$H$40="",J41=0)+AND($G$42="",$H$42="",J43=0)+AND($G$44="",$H$44="",J45=0)+AND($G$46="",$H$46="",J47=0)+AND($G$48="",$H$48="",J49=0)+AND($G$50="",$H$50="",J51=0)+AND($G$52="",$H$52="",J53=0)+AND($G$54="",$H$54="",J55=0)+AND($G$56="",$H$56="",J57=0)+AND($G$58="",$H$58="",J59=0)+AND($G$60="",$H$60="",J61=0)+AND($G$62="",$H$62="",J63=0)+AND($G$64="",$H$64="",J65=0)+AND($G$66="",$H$66="",J67=0)+AND($G$68="",$H$68="",J69=0)+AND($G$70="",$H$70="",J71=0)+AND($G$72="",$H$72="",J73=0)+AND($G$74="",$H$74="",J75=0)+AND($G$76="",$H$76="",J77=0)+AND($G$78="",$H$78="",J79=0))</f>
        <v>0</v>
      </c>
      <c r="K6" s="75">
        <f>SUM(AND($G$8="",$H$8="",K9=0)+AND($G$10="",$H$10="",K11=0)+AND($G$12="",$H$12="",K13=0)+AND($G$14="",$H$14="",K15=0)+AND($G$16="",$H$16="",K17=0)+AND($G$18="",$H$18="",K19=0)+AND($G$20="",$H$20="",K21=0)+AND($G$22="",$H$22="",K23=0)+AND($G$24="",$H$24="",K25=0)+AND($G$26="",$H$26="",K27=0)+AND($G$28="",$H$28="",K29=0)+AND($G$30="",$H$30="",K31=0)+AND($G$32="",$H$32="",K33=0)+AND($G$34="",$H$34="",K35=0)+AND($G$36="",$H$36="",K37=0)+AND($G$38="",$H$38="",K39=0)+AND($G$40="",$H$40="",K41=0)+AND($G$42="",$H$42="",K43=0)+AND($G$44="",$H$44="",K45=0)+AND($G$46="",$H$46="",K47=0)+AND($G$48="",$H$48="",K49=0)+AND($G$50="",$H$50="",K51=0)+AND($G$52="",$H$52="",K53=0)+AND($G$54="",$H$54="",K55=0)+AND($G$56="",$H$56="",K57=0)+AND($G$58="",$H$58="",K59=0)+AND($G$60="",$H$60="",K61=0)+AND($G$62="",$H$62="",K63=0)+AND($G$64="",$H$64="",K65=0)+AND($G$66="",$H$66="",K67=0)+AND($G$68="",$H$68="",K69=0)+AND($G$70="",$H$70="",K71=0)+AND($G$72="",$H$72="",K73=0)+AND($G$74="",$H$74="",K75=0)+AND($G$76="",$H$76="",K77=0)+AND($G$78="",$H$78="",K79=0))</f>
        <v>0</v>
      </c>
      <c r="L6" s="75">
        <f>SUM(AND($G$8="",$H$8="",L9=0)+AND($G$10="",$H$10="",L11=0)+AND($G$12="",$H$12="",L13=0)+AND($G$14="",$H$14="",L15=0)+AND($G$16="",$H$16="",L17=0)+AND($G$18="",$H$18="",L19=0)+AND($G$20="",$H$20="",L21=0)+AND($G$22="",$H$22="",L23=0)+AND($G$24="",$H$24="",L25=0)+AND($G$26="",$H$26="",L27=0)+AND($G$28="",$H$28="",L29=0)+AND($G$30="",$H$30="",L31=0)+AND($G$32="",$H$32="",L33=0)+AND($G$34="",$H$34="",L35=0)+AND($G$36="",$H$36="",L37=0)+AND($G$38="",$H$38="",L39=0)+AND($G$40="",$H$40="",L41=0)+AND($G$42="",$H$42="",L43=0)+AND($G$44="",$H$44="",L45=0)+AND($G$46="",$H$46="",L47=0)+AND($G$48="",$H$48="",L49=0)+AND($G$50="",$H$50="",L51=0)+AND($G$52="",$H$52="",L53=0)+AND($G$54="",$H$54="",L55=0)+AND($G$56="",$H$56="",L57=0)+AND($G$58="",$H$58="",L59=0)+AND($G$60="",$H$60="",L61=0)+AND($G$62="",$H$62="",L63=0)+AND($G$64="",$H$64="",L65=0)+AND($G$66="",$H$66="",L67=0)+AND($G$68="",$H$68="",L69=0)+AND($G$70="",$H$70="",L71=0)+AND($G$72="",$H$72="",L73=0)+AND($G$74="",$H$74="",L75=0)+AND($G$76="",$H$76="",L77=0)+AND($G$78="",$H$78="",L79=0))</f>
        <v>0</v>
      </c>
      <c r="M6" s="75">
        <f>SUM(AND($G$8="",$H$8="",M9=0)+AND($G$10="",$H$10="",M11=0)+AND($G$12="",$H$12="",M13=0)+AND($G$14="",$H$14="",M15=0)+AND($G$16="",$H$16="",M17=0)+AND($G$18="",$H$18="",M19=0)+AND($G$20="",$H$20="",M21=0)+AND($G$22="",$H$22="",M23=0)+AND($G$24="",$H$24="",M25=0)+AND($G$26="",$H$26="",M27=0)+AND($G$28="",$H$28="",M29=0)+AND($G$30="",$H$30="",M31=0)+AND($G$32="",$H$32="",M33=0)+AND($G$34="",$H$34="",M35=0)+AND($G$36="",$H$36="",M37=0)+AND($G$38="",$H$38="",M39=0)+AND($G$40="",$H$40="",M41=0)+AND($G$42="",$H$42="",M43=0)+AND($G$44="",$H$44="",M45=0)+AND($G$46="",$H$46="",M47=0)+AND($G$48="",$H$48="",M49=0)+AND($G$50="",$H$50="",M51=0)+AND($G$52="",$H$52="",M53=0)+AND($G$54="",$H$54="",M55=0)+AND($G$56="",$H$56="",M57=0)+AND($G$58="",$H$58="",M59=0)+AND($G$60="",$H$60="",M61=0)+AND($G$62="",$H$62="",M63=0)+AND($G$64="",$H$64="",M65=0)+AND($G$66="",$H$66="",M67=0)+AND($G$68="",$H$68="",M69=0)+AND($G$70="",$H$70="",M71=0)+AND($G$72="",$H$72="",M73=0)+AND($G$74="",$H$74="",M75=0)+AND($G$76="",$H$76="",M77=0)+AND($G$78="",$H$78="",M79=0))</f>
        <v>2</v>
      </c>
      <c r="N6" s="75">
        <f>SUM(AND($G$8="",$H$8="",N9=0)+AND($G$10="",$H$10="",N11=0)+AND($G$12="",$H$12="",N13=0)+AND($G$14="",$H$14="",N15=0)+AND($G$16="",$H$16="",N17=0)+AND($G$18="",$H$18="",N19=0)+AND($G$20="",$H$20="",N21=0)+AND($G$22="",$H$22="",N23=0)+AND($G$24="",$H$24="",N25=0)+AND($G$26="",$H$26="",N27=0)+AND($G$28="",$H$28="",N29=0)+AND($G$30="",$H$30="",N31=0)+AND($G$32="",$H$32="",N33=0)+AND($G$34="",$H$34="",N35=0)+AND($G$36="",$H$36="",N37=0)+AND($G$38="",$H$38="",N39=0)+AND($G$40="",$H$40="",N41=0)+AND($G$42="",$H$42="",N43=0)+AND($G$44="",$H$44="",N45=0)+AND($G$46="",$H$46="",N47=0)+AND($G$48="",$H$48="",N49=0)+AND($G$50="",$H$50="",N51=0)+AND($G$52="",$H$52="",N53=0)+AND($G$54="",$H$54="",N55=0)+AND($G$56="",$H$56="",N57=0)+AND($G$58="",$H$58="",N59=0)+AND($G$60="",$H$60="",N61=0)+AND($G$62="",$H$62="",N63=0)+AND($G$64="",$H$64="",N65=0)+AND($G$66="",$H$66="",N67=0)+AND($G$68="",$H$68="",N69=0)+AND($G$70="",$H$70="",N71=0)+AND($G$72="",$H$72="",N73=0)+AND($G$74="",$H$74="",N75=0)+AND($G$76="",$H$76="",N77=0)+AND($G$78="",$H$78="",N79=0))</f>
        <v>0</v>
      </c>
      <c r="O6" s="75">
        <f>SUM(AND($G$8="",$H$8="",O9=0)+AND($G$10="",$H$10="",O11=0)+AND($G$12="",$H$12="",O13=0)+AND($G$14="",$H$14="",O15=0)+AND($G$16="",$H$16="",O17=0)+AND($G$18="",$H$18="",O19=0)+AND($G$20="",$H$20="",O21=0)+AND($G$22="",$H$22="",O23=0)+AND($G$24="",$H$24="",O25=0)+AND($G$26="",$H$26="",O27=0)+AND($G$28="",$H$28="",O29=0)+AND($G$30="",$H$30="",O31=0)+AND($G$32="",$H$32="",O33=0)+AND($G$34="",$H$34="",O35=0)+AND($G$36="",$H$36="",O37=0)+AND($G$38="",$H$38="",O39=0)+AND($G$40="",$H$40="",O41=0)+AND($G$42="",$H$42="",O43=0)+AND($G$44="",$H$44="",O45=0)+AND($G$46="",$H$46="",O47=0)+AND($G$48="",$H$48="",O49=0)+AND($G$50="",$H$50="",O51=0)+AND($G$52="",$H$52="",O53=0)+AND($G$54="",$H$54="",O55=0)+AND($G$56="",$H$56="",O57=0)+AND($G$58="",$H$58="",O59=0)+AND($G$60="",$H$60="",O61=0)+AND($G$62="",$H$62="",O63=0)+AND($G$64="",$H$64="",O65=0)+AND($G$66="",$H$66="",O67=0)+AND($G$68="",$H$68="",O69=0)+AND($G$70="",$H$70="",O71=0)+AND($G$72="",$H$72="",O73=0)+AND($G$74="",$H$74="",O75=0)+AND($G$76="",$H$76="",O77=0)+AND($G$78="",$H$78="",O79=0))</f>
        <v>0</v>
      </c>
      <c r="P6" s="75">
        <f>SUM(AND($G$8="",$H$8="",P9=0)+AND($G$10="",$H$10="",P11=0)+AND($G$12="",$H$12="",P13=0)+AND($G$14="",$H$14="",P15=0)+AND($G$16="",$H$16="",P17=0)+AND($G$18="",$H$18="",P19=0)+AND($G$20="",$H$20="",P21=0)+AND($G$22="",$H$22="",P23=0)+AND($G$24="",$H$24="",P25=0)+AND($G$26="",$H$26="",P27=0)+AND($G$28="",$H$28="",P29=0)+AND($G$30="",$H$30="",P31=0)+AND($G$32="",$H$32="",P33=0)+AND($G$34="",$H$34="",P35=0)+AND($G$36="",$H$36="",P37=0)+AND($G$38="",$H$38="",P39=0)+AND($G$40="",$H$40="",P41=0)+AND($G$42="",$H$42="",P43=0)+AND($G$44="",$H$44="",P45=0)+AND($G$46="",$H$46="",P47=0)+AND($G$48="",$H$48="",P49=0)+AND($G$50="",$H$50="",P51=0)+AND($G$52="",$H$52="",P53=0)+AND($G$54="",$H$54="",P55=0)+AND($G$56="",$H$56="",P57=0)+AND($G$58="",$H$58="",P59=0)+AND($G$60="",$H$60="",P61=0)+AND($G$62="",$H$62="",P63=0)+AND($G$64="",$H$64="",P65=0)+AND($G$66="",$H$66="",P67=0)+AND($G$68="",$H$68="",P69=0)+AND($G$70="",$H$70="",P71=0)+AND($G$72="",$H$72="",P73=0)+AND($G$74="",$H$74="",P75=0)+AND($G$76="",$H$76="",P77=0)+AND($G$78="",$H$78="",P79=0))</f>
        <v>0</v>
      </c>
      <c r="Q6" s="75">
        <f>SUM(AND($G$8="",$H$8="",Q9=0)+AND($G$10="",$H$10="",Q11=0)+AND($G$12="",$H$12="",Q13=0)+AND($G$14="",$H$14="",Q15=0)+AND($G$16="",$H$16="",Q17=0)+AND($G$18="",$H$18="",Q19=0)+AND($G$20="",$H$20="",Q21=0)+AND($G$22="",$H$22="",Q23=0)+AND($G$24="",$H$24="",Q25=0)+AND($G$26="",$H$26="",Q27=0)+AND($G$28="",$H$28="",Q29=0)+AND($G$30="",$H$30="",Q31=0)+AND($G$32="",$H$32="",Q33=0)+AND($G$34="",$H$34="",Q35=0)+AND($G$36="",$H$36="",Q37=0)+AND($G$38="",$H$38="",Q39=0)+AND($G$40="",$H$40="",Q41=0)+AND($G$42="",$H$42="",Q43=0)+AND($G$44="",$H$44="",Q45=0)+AND($G$46="",$H$46="",Q47=0)+AND($G$48="",$H$48="",Q49=0)+AND($G$50="",$H$50="",Q51=0)+AND($G$52="",$H$52="",Q53=0)+AND($G$54="",$H$54="",Q55=0)+AND($G$56="",$H$56="",Q57=0)+AND($G$58="",$H$58="",Q59=0)+AND($G$60="",$H$60="",Q61=0)+AND($G$62="",$H$62="",Q63=0)+AND($G$64="",$H$64="",Q65=0)+AND($G$66="",$H$66="",Q67=0)+AND($G$68="",$H$68="",Q69=0)+AND($G$70="",$H$70="",Q71=0)+AND($G$72="",$H$72="",Q73=0)+AND($G$74="",$H$74="",Q75=0)+AND($G$76="",$H$76="",Q77=0)+AND($G$78="",$H$78="",Q79=0))</f>
        <v>0</v>
      </c>
      <c r="R6" s="75">
        <f>SUM(AND($G$8="",$H$8="",R9=0)+AND($G$10="",$H$10="",R11=0)+AND($G$12="",$H$12="",R13=0)+AND($G$14="",$H$14="",R15=0)+AND($G$16="",$H$16="",R17=0)+AND($G$18="",$H$18="",R19=0)+AND($G$20="",$H$20="",R21=0)+AND($G$22="",$H$22="",R23=0)+AND($G$24="",$H$24="",R25=0)+AND($G$26="",$H$26="",R27=0)+AND($G$28="",$H$28="",R29=0)+AND($G$30="",$H$30="",R31=0)+AND($G$32="",$H$32="",R33=0)+AND($G$34="",$H$34="",R35=0)+AND($G$36="",$H$36="",R37=0)+AND($G$38="",$H$38="",R39=0)+AND($G$40="",$H$40="",R41=0)+AND($G$42="",$H$42="",R43=0)+AND($G$44="",$H$44="",R45=0)+AND($G$46="",$H$46="",R47=0)+AND($G$48="",$H$48="",R49=0)+AND($G$50="",$H$50="",R51=0)+AND($G$52="",$H$52="",R53=0)+AND($G$54="",$H$54="",R55=0)+AND($G$56="",$H$56="",R57=0)+AND($G$58="",$H$58="",R59=0)+AND($G$60="",$H$60="",R61=0)+AND($G$62="",$H$62="",R63=0)+AND($G$64="",$H$64="",R65=0)+AND($G$66="",$H$66="",R67=0)+AND($G$68="",$H$68="",R69=0)+AND($G$70="",$H$70="",R71=0)+AND($G$72="",$H$72="",R73=0)+AND($G$74="",$H$74="",R75=0)+AND($G$76="",$H$76="",R77=0)+AND($G$78="",$H$78="",R79=0))</f>
        <v>0</v>
      </c>
      <c r="S6" s="75">
        <f>SUM(AND($G$8="",$H$8="",S9=0)+AND($G$10="",$H$10="",S11=0)+AND($G$12="",$H$12="",S13=0)+AND($G$14="",$H$14="",S15=0)+AND($G$16="",$H$16="",S17=0)+AND($G$18="",$H$18="",S19=0)+AND($G$20="",$H$20="",S21=0)+AND($G$22="",$H$22="",S23=0)+AND($G$24="",$H$24="",S25=0)+AND($G$26="",$H$26="",S27=0)+AND($G$28="",$H$28="",S29=0)+AND($G$30="",$H$30="",S31=0)+AND($G$32="",$H$32="",S33=0)+AND($G$34="",$H$34="",S35=0)+AND($G$36="",$H$36="",S37=0)+AND($G$38="",$H$38="",S39=0)+AND($G$40="",$H$40="",S41=0)+AND($G$42="",$H$42="",S43=0)+AND($G$44="",$H$44="",S45=0)+AND($G$46="",$H$46="",S47=0)+AND($G$48="",$H$48="",S49=0)+AND($G$50="",$H$50="",S51=0)+AND($G$52="",$H$52="",S53=0)+AND($G$54="",$H$54="",S55=0)+AND($G$56="",$H$56="",S57=0)+AND($G$58="",$H$58="",S59=0)+AND($G$60="",$H$60="",S61=0)+AND($G$62="",$H$62="",S63=0)+AND($G$64="",$H$64="",S65=0)+AND($G$66="",$H$66="",S67=0)+AND($G$68="",$H$68="",S69=0)+AND($G$70="",$H$70="",S71=0)+AND($G$72="",$H$72="",S73=0)+AND($G$74="",$H$74="",S75=0)+AND($G$76="",$H$76="",S77=0)+AND($G$78="",$H$78="",S79=0))</f>
        <v>0</v>
      </c>
      <c r="T6" s="75">
        <f>SUM(AND($G$8="",$H$8="",T9=0)+AND($G$10="",$H$10="",T11=0)+AND($G$12="",$H$12="",T13=0)+AND($G$14="",$H$14="",T15=0)+AND($G$16="",$H$16="",T17=0)+AND($G$18="",$H$18="",T19=0)+AND($G$20="",$H$20="",T21=0)+AND($G$22="",$H$22="",T23=0)+AND($G$24="",$H$24="",T25=0)+AND($G$26="",$H$26="",T27=0)+AND($G$28="",$H$28="",T29=0)+AND($G$30="",$H$30="",T31=0)+AND($G$32="",$H$32="",T33=0)+AND($G$34="",$H$34="",T35=0)+AND($G$36="",$H$36="",T37=0)+AND($G$38="",$H$38="",T39=0)+AND($G$40="",$H$40="",T41=0)+AND($G$42="",$H$42="",T43=0)+AND($G$44="",$H$44="",T45=0)+AND($G$46="",$H$46="",T47=0)+AND($G$48="",$H$48="",T49=0)+AND($G$50="",$H$50="",T51=0)+AND($G$52="",$H$52="",T53=0)+AND($G$54="",$H$54="",T55=0)+AND($G$56="",$H$56="",T57=0)+AND($G$58="",$H$58="",T59=0)+AND($G$60="",$H$60="",T61=0)+AND($G$62="",$H$62="",T63=0)+AND($G$64="",$H$64="",T65=0)+AND($G$66="",$H$66="",T67=0)+AND($G$68="",$H$68="",T69=0)+AND($G$70="",$H$70="",T71=0)+AND($G$72="",$H$72="",T73=0)+AND($G$74="",$H$74="",T75=0)+AND($G$76="",$H$76="",T77=0)+AND($G$78="",$H$78="",T79=0))</f>
        <v>0</v>
      </c>
      <c r="U6" s="75">
        <f>SUM(AND($G$8="",$H$8="",U9=0)+AND($G$10="",$H$10="",U11=0)+AND($G$12="",$H$12="",U13=0)+AND($G$14="",$H$14="",U15=0)+AND($G$16="",$H$16="",U17=0)+AND($G$18="",$H$18="",U19=0)+AND($G$20="",$H$20="",U21=0)+AND($G$22="",$H$22="",U23=0)+AND($G$24="",$H$24="",U25=0)+AND($G$26="",$H$26="",U27=0)+AND($G$28="",$H$28="",U29=0)+AND($G$30="",$H$30="",U31=0)+AND($G$32="",$H$32="",U33=0)+AND($G$34="",$H$34="",U35=0)+AND($G$36="",$H$36="",U37=0)+AND($G$38="",$H$38="",U39=0)+AND($G$40="",$H$40="",U41=0)+AND($G$42="",$H$42="",U43=0)+AND($G$44="",$H$44="",U45=0)+AND($G$46="",$H$46="",U47=0)+AND($G$48="",$H$48="",U49=0)+AND($G$50="",$H$50="",U51=0)+AND($G$52="",$H$52="",U53=0)+AND($G$54="",$H$54="",U55=0)+AND($G$56="",$H$56="",U57=0)+AND($G$58="",$H$58="",U59=0)+AND($G$60="",$H$60="",U61=0)+AND($G$62="",$H$62="",U63=0)+AND($G$64="",$H$64="",U65=0)+AND($G$66="",$H$66="",U67=0)+AND($G$68="",$H$68="",U69=0)+AND($G$70="",$H$70="",U71=0)+AND($G$72="",$H$72="",U73=0)+AND($G$74="",$H$74="",U75=0)+AND($G$76="",$H$76="",U77=0)+AND($G$78="",$H$78="",U79=0))</f>
        <v>0</v>
      </c>
      <c r="V6" s="75">
        <f>SUM(AND($G$8="",$H$8="",V9=0)+AND($G$10="",$H$10="",V11=0)+AND($G$12="",$H$12="",V13=0)+AND($G$14="",$H$14="",V15=0)+AND($G$16="",$H$16="",V17=0)+AND($G$18="",$H$18="",V19=0)+AND($G$20="",$H$20="",V21=0)+AND($G$22="",$H$22="",V23=0)+AND($G$24="",$H$24="",V25=0)+AND($G$26="",$H$26="",V27=0)+AND($G$28="",$H$28="",V29=0)+AND($G$30="",$H$30="",V31=0)+AND($G$32="",$H$32="",V33=0)+AND($G$34="",$H$34="",V35=0)+AND($G$36="",$H$36="",V37=0)+AND($G$38="",$H$38="",V39=0)+AND($G$40="",$H$40="",V41=0)+AND($G$42="",$H$42="",V43=0)+AND($G$44="",$H$44="",V45=0)+AND($G$46="",$H$46="",V47=0)+AND($G$48="",$H$48="",V49=0)+AND($G$50="",$H$50="",V51=0)+AND($G$52="",$H$52="",V53=0)+AND($G$54="",$H$54="",V55=0)+AND($G$56="",$H$56="",V57=0)+AND($G$58="",$H$58="",V59=0)+AND($G$60="",$H$60="",V61=0)+AND($G$62="",$H$62="",V63=0)+AND($G$64="",$H$64="",V65=0)+AND($G$66="",$H$66="",V67=0)+AND($G$68="",$H$68="",V69=0)+AND($G$70="",$H$70="",V71=0)+AND($G$72="",$H$72="",V73=0)+AND($G$74="",$H$74="",V75=0)+AND($G$76="",$H$76="",V77=0)+AND($G$78="",$H$78="",V79=0))</f>
        <v>0</v>
      </c>
      <c r="W6" s="75">
        <f>SUM(AND($G$8="",$H$8="",W9=0)+AND($G$10="",$H$10="",W11=0)+AND($G$12="",$H$12="",W13=0)+AND($G$14="",$H$14="",W15=0)+AND($G$16="",$H$16="",W17=0)+AND($G$18="",$H$18="",W19=0)+AND($G$20="",$H$20="",W21=0)+AND($G$22="",$H$22="",W23=0)+AND($G$24="",$H$24="",W25=0)+AND($G$26="",$H$26="",W27=0)+AND($G$28="",$H$28="",W29=0)+AND($G$30="",$H$30="",W31=0)+AND($G$32="",$H$32="",W33=0)+AND($G$34="",$H$34="",W35=0)+AND($G$36="",$H$36="",W37=0)+AND($G$38="",$H$38="",W39=0)+AND($G$40="",$H$40="",W41=0)+AND($G$42="",$H$42="",W43=0)+AND($G$44="",$H$44="",W45=0)+AND($G$46="",$H$46="",W47=0)+AND($G$48="",$H$48="",W49=0)+AND($G$50="",$H$50="",W51=0)+AND($G$52="",$H$52="",W53=0)+AND($G$54="",$H$54="",W55=0)+AND($G$56="",$H$56="",W57=0)+AND($G$58="",$H$58="",W59=0)+AND($G$60="",$H$60="",W61=0)+AND($G$62="",$H$62="",W63=0)+AND($G$64="",$H$64="",W65=0)+AND($G$66="",$H$66="",W67=0)+AND($G$68="",$H$68="",W69=0)+AND($G$70="",$H$70="",W71=0)+AND($G$72="",$H$72="",W73=0)+AND($G$74="",$H$74="",W75=0)+AND($G$76="",$H$76="",W77=0)+AND($G$78="",$H$78="",W79=0))</f>
        <v>0</v>
      </c>
      <c r="X6" s="75">
        <f>SUM(AND($G$8="",$H$8="",X9=0)+AND($G$10="",$H$10="",X11=0)+AND($G$12="",$H$12="",X13=0)+AND($G$14="",$H$14="",X15=0)+AND($G$16="",$H$16="",X17=0)+AND($G$18="",$H$18="",X19=0)+AND($G$20="",$H$20="",X21=0)+AND($G$22="",$H$22="",X23=0)+AND($G$24="",$H$24="",X25=0)+AND($G$26="",$H$26="",X27=0)+AND($G$28="",$H$28="",X29=0)+AND($G$30="",$H$30="",X31=0)+AND($G$32="",$H$32="",X33=0)+AND($G$34="",$H$34="",X35=0)+AND($G$36="",$H$36="",X37=0)+AND($G$38="",$H$38="",X39=0)+AND($G$40="",$H$40="",X41=0)+AND($G$42="",$H$42="",X43=0)+AND($G$44="",$H$44="",X45=0)+AND($G$46="",$H$46="",X47=0)+AND($G$48="",$H$48="",X49=0)+AND($G$50="",$H$50="",X51=0)+AND($G$52="",$H$52="",X53=0)+AND($G$54="",$H$54="",X55=0)+AND($G$56="",$H$56="",X57=0)+AND($G$58="",$H$58="",X59=0)+AND($G$60="",$H$60="",X61=0)+AND($G$62="",$H$62="",X63=0)+AND($G$64="",$H$64="",X65=0)+AND($G$66="",$H$66="",X67=0)+AND($G$68="",$H$68="",X69=0)+AND($G$70="",$H$70="",X71=0)+AND($G$72="",$H$72="",X73=0)+AND($G$74="",$H$74="",X75=0)+AND($G$76="",$H$76="",X77=0)+AND($G$78="",$H$78="",X79=0))</f>
        <v>0</v>
      </c>
      <c r="Y6" s="75">
        <f>SUM(AND($G$8="",$H$8="",Y9=0)+AND($G$10="",$H$10="",Y11=0)+AND($G$12="",$H$12="",Y13=0)+AND($G$14="",$H$14="",Y15=0)+AND($G$16="",$H$16="",Y17=0)+AND($G$18="",$H$18="",Y19=0)+AND($G$20="",$H$20="",Y21=0)+AND($G$22="",$H$22="",Y23=0)+AND($G$24="",$H$24="",Y25=0)+AND($G$26="",$H$26="",Y27=0)+AND($G$28="",$H$28="",Y29=0)+AND($G$30="",$H$30="",Y31=0)+AND($G$32="",$H$32="",Y33=0)+AND($G$34="",$H$34="",Y35=0)+AND($G$36="",$H$36="",Y37=0)+AND($G$38="",$H$38="",Y39=0)+AND($G$40="",$H$40="",Y41=0)+AND($G$42="",$H$42="",Y43=0)+AND($G$44="",$H$44="",Y45=0)+AND($G$46="",$H$46="",Y47=0)+AND($G$48="",$H$48="",Y49=0)+AND($G$50="",$H$50="",Y51=0)+AND($G$52="",$H$52="",Y53=0)+AND($G$54="",$H$54="",Y55=0)+AND($G$56="",$H$56="",Y57=0)+AND($G$58="",$H$58="",Y59=0)+AND($G$60="",$H$60="",Y61=0)+AND($G$62="",$H$62="",Y63=0)+AND($G$64="",$H$64="",Y65=0)+AND($G$66="",$H$66="",Y67=0)+AND($G$68="",$H$68="",Y69=0)+AND($G$70="",$H$70="",Y71=0)+AND($G$72="",$H$72="",Y73=0)+AND($G$74="",$H$74="",Y75=0)+AND($G$76="",$H$76="",Y77=0)+AND($G$78="",$H$78="",Y79=0))</f>
        <v>0</v>
      </c>
      <c r="Z6" s="75">
        <f>SUM(AND($G$8="",$H$8="",Z9=0)+AND($G$10="",$H$10="",Z11=0)+AND($G$12="",$H$12="",Z13=0)+AND($G$14="",$H$14="",Z15=0)+AND($G$16="",$H$16="",Z17=0)+AND($G$18="",$H$18="",Z19=0)+AND($G$20="",$H$20="",Z21=0)+AND($G$22="",$H$22="",Z23=0)+AND($G$24="",$H$24="",Z25=0)+AND($G$26="",$H$26="",Z27=0)+AND($G$28="",$H$28="",Z29=0)+AND($G$30="",$H$30="",Z31=0)+AND($G$32="",$H$32="",Z33=0)+AND($G$34="",$H$34="",Z35=0)+AND($G$36="",$H$36="",Z37=0)+AND($G$38="",$H$38="",Z39=0)+AND($G$40="",$H$40="",Z41=0)+AND($G$42="",$H$42="",Z43=0)+AND($G$44="",$H$44="",Z45=0)+AND($G$46="",$H$46="",Z47=0)+AND($G$48="",$H$48="",Z49=0)+AND($G$50="",$H$50="",Z51=0)+AND($G$52="",$H$52="",Z53=0)+AND($G$54="",$H$54="",Z55=0)+AND($G$56="",$H$56="",Z57=0)+AND($G$58="",$H$58="",Z59=0)+AND($G$60="",$H$60="",Z61=0)+AND($G$62="",$H$62="",Z63=0)+AND($G$64="",$H$64="",Z65=0)+AND($G$66="",$H$66="",Z67=0)+AND($G$68="",$H$68="",Z69=0)+AND($G$70="",$H$70="",Z71=0)+AND($G$72="",$H$72="",Z73=0)+AND($G$74="",$H$74="",Z75=0)+AND($G$76="",$H$76="",Z77=0)+AND($G$78="",$H$78="",Z79=0))</f>
        <v>1</v>
      </c>
      <c r="AA6" s="75">
        <f>SUM(AND($G$8="",$H$8="",AA9=0)+AND($G$10="",$H$10="",AA11=0)+AND($G$12="",$H$12="",AA13=0)+AND($G$14="",$H$14="",AA15=0)+AND($G$16="",$H$16="",AA17=0)+AND($G$18="",$H$18="",AA19=0)+AND($G$20="",$H$20="",AA21=0)+AND($G$22="",$H$22="",AA23=0)+AND($G$24="",$H$24="",AA25=0)+AND($G$26="",$H$26="",AA27=0)+AND($G$28="",$H$28="",AA29=0)+AND($G$30="",$H$30="",AA31=0)+AND($G$32="",$H$32="",AA33=0)+AND($G$34="",$H$34="",AA35=0)+AND($G$36="",$H$36="",AA37=0)+AND($G$38="",$H$38="",AA39=0)+AND($G$40="",$H$40="",AA41=0)+AND($G$42="",$H$42="",AA43=0)+AND($G$44="",$H$44="",AA45=0)+AND($G$46="",$H$46="",AA47=0)+AND($G$48="",$H$48="",AA49=0)+AND($G$50="",$H$50="",AA51=0)+AND($G$52="",$H$52="",AA53=0)+AND($G$54="",$H$54="",AA55=0)+AND($G$56="",$H$56="",AA57=0)+AND($G$58="",$H$58="",AA59=0)+AND($G$60="",$H$60="",AA61=0)+AND($G$62="",$H$62="",AA63=0)+AND($G$64="",$H$64="",AA65=0)+AND($G$66="",$H$66="",AA67=0)+AND($G$68="",$H$68="",AA69=0)+AND($G$70="",$H$70="",AA71=0)+AND($G$72="",$H$72="",AA73=0)+AND($G$74="",$H$74="",AA75=0)+AND($G$76="",$H$76="",AA77=0)+AND($G$78="",$H$78="",AA79=0))</f>
        <v>0</v>
      </c>
      <c r="AB6" s="75">
        <f>SUM(AND($G$8="",$H$8="",AB9=0)+AND($G$10="",$H$10="",AB11=0)+AND($G$12="",$H$12="",AB13=0)+AND($G$14="",$H$14="",AB15=0)+AND($G$16="",$H$16="",AB17=0)+AND($G$18="",$H$18="",AB19=0)+AND($G$20="",$H$20="",AB21=0)+AND($G$22="",$H$22="",AB23=0)+AND($G$24="",$H$24="",AB25=0)+AND($G$26="",$H$26="",AB27=0)+AND($G$28="",$H$28="",AB29=0)+AND($G$30="",$H$30="",AB31=0)+AND($G$32="",$H$32="",AB33=0)+AND($G$34="",$H$34="",AB35=0)+AND($G$36="",$H$36="",AB37=0)+AND($G$38="",$H$38="",AB39=0)+AND($G$40="",$H$40="",AB41=0)+AND($G$42="",$H$42="",AB43=0)+AND($G$44="",$H$44="",AB45=0)+AND($G$46="",$H$46="",AB47=0)+AND($G$48="",$H$48="",AB49=0)+AND($G$50="",$H$50="",AB51=0)+AND($G$52="",$H$52="",AB53=0)+AND($G$54="",$H$54="",AB55=0)+AND($G$56="",$H$56="",AB57=0)+AND($G$58="",$H$58="",AB59=0)+AND($G$60="",$H$60="",AB61=0)+AND($G$62="",$H$62="",AB63=0)+AND($G$64="",$H$64="",AB65=0)+AND($G$66="",$H$66="",AB67=0)+AND($G$68="",$H$68="",AB69=0)+AND($G$70="",$H$70="",AB71=0)+AND($G$72="",$H$72="",AB73=0)+AND($G$74="",$H$74="",AB75=0)+AND($G$76="",$H$76="",AB77=0)+AND($G$78="",$H$78="",AB79=0))</f>
        <v>0</v>
      </c>
      <c r="AC6" s="75">
        <f>SUM(AND($G$8="",$H$8="",AC9=0)+AND($G$10="",$H$10="",AC11=0)+AND($G$12="",$H$12="",AC13=0)+AND($G$14="",$H$14="",AC15=0)+AND($G$16="",$H$16="",AC17=0)+AND($G$18="",$H$18="",AC19=0)+AND($G$20="",$H$20="",AC21=0)+AND($G$22="",$H$22="",AC23=0)+AND($G$24="",$H$24="",AC25=0)+AND($G$26="",$H$26="",AC27=0)+AND($G$28="",$H$28="",AC29=0)+AND($G$30="",$H$30="",AC31=0)+AND($G$32="",$H$32="",AC33=0)+AND($G$34="",$H$34="",AC35=0)+AND($G$36="",$H$36="",AC37=0)+AND($G$38="",$H$38="",AC39=0)+AND($G$40="",$H$40="",AC41=0)+AND($G$42="",$H$42="",AC43=0)+AND($G$44="",$H$44="",AC45=0)+AND($G$46="",$H$46="",AC47=0)+AND($G$48="",$H$48="",AC49=0)+AND($G$50="",$H$50="",AC51=0)+AND($G$52="",$H$52="",AC53=0)+AND($G$54="",$H$54="",AC55=0)+AND($G$56="",$H$56="",AC57=0)+AND($G$58="",$H$58="",AC59=0)+AND($G$60="",$H$60="",AC61=0)+AND($G$62="",$H$62="",AC63=0)+AND($G$64="",$H$64="",AC65=0)+AND($G$66="",$H$66="",AC67=0)+AND($G$68="",$H$68="",AC69=0)+AND($G$70="",$H$70="",AC71=0)+AND($G$72="",$H$72="",AC73=0)+AND($G$74="",$H$74="",AC75=0)+AND($G$76="",$H$76="",AC77=0)+AND($G$78="",$H$78="",AC79=0))</f>
        <v>0</v>
      </c>
      <c r="AD6" s="75">
        <f>SUM(AND($G$8="",$H$8="",AD9=0)+AND($G$10="",$H$10="",AD11=0)+AND($G$12="",$H$12="",AD13=0)+AND($G$14="",$H$14="",AD15=0)+AND($G$16="",$H$16="",AD17=0)+AND($G$18="",$H$18="",AD19=0)+AND($G$20="",$H$20="",AD21=0)+AND($G$22="",$H$22="",AD23=0)+AND($G$24="",$H$24="",AD25=0)+AND($G$26="",$H$26="",AD27=0)+AND($G$28="",$H$28="",AD29=0)+AND($G$30="",$H$30="",AD31=0)+AND($G$32="",$H$32="",AD33=0)+AND($G$34="",$H$34="",AD35=0)+AND($G$36="",$H$36="",AD37=0)+AND($G$38="",$H$38="",AD39=0)+AND($G$40="",$H$40="",AD41=0)+AND($G$42="",$H$42="",AD43=0)+AND($G$44="",$H$44="",AD45=0)+AND($G$46="",$H$46="",AD47=0)+AND($G$48="",$H$48="",AD49=0)+AND($G$50="",$H$50="",AD51=0)+AND($G$52="",$H$52="",AD53=0)+AND($G$54="",$H$54="",AD55=0)+AND($G$56="",$H$56="",AD57=0)+AND($G$58="",$H$58="",AD59=0)+AND($G$60="",$H$60="",AD61=0)+AND($G$62="",$H$62="",AD63=0)+AND($G$64="",$H$64="",AD65=0)+AND($G$66="",$H$66="",AD67=0)+AND($G$68="",$H$68="",AD69=0)+AND($G$70="",$H$70="",AD71=0)+AND($G$72="",$H$72="",AD73=0)+AND($G$74="",$H$74="",AD75=0)+AND($G$76="",$H$76="",AD77=0)+AND($G$78="",$H$78="",AD79=0))</f>
        <v>0</v>
      </c>
      <c r="AE6" s="75">
        <f>SUM(AND($G$8="",$H$8="",AE9=0)+AND($G$10="",$H$10="",AE11=0)+AND($G$12="",$H$12="",AE13=0)+AND($G$14="",$H$14="",AE15=0)+AND($G$16="",$H$16="",AE17=0)+AND($G$18="",$H$18="",AE19=0)+AND($G$20="",$H$20="",AE21=0)+AND($G$22="",$H$22="",AE23=0)+AND($G$24="",$H$24="",AE25=0)+AND($G$26="",$H$26="",AE27=0)+AND($G$28="",$H$28="",AE29=0)+AND($G$30="",$H$30="",AE31=0)+AND($G$32="",$H$32="",AE33=0)+AND($G$34="",$H$34="",AE35=0)+AND($G$36="",$H$36="",AE37=0)+AND($G$38="",$H$38="",AE39=0)+AND($G$40="",$H$40="",AE41=0)+AND($G$42="",$H$42="",AE43=0)+AND($G$44="",$H$44="",AE45=0)+AND($G$46="",$H$46="",AE47=0)+AND($G$48="",$H$48="",AE49=0)+AND($G$50="",$H$50="",AE51=0)+AND($G$52="",$H$52="",AE53=0)+AND($G$54="",$H$54="",AE55=0)+AND($G$56="",$H$56="",AE57=0)+AND($G$58="",$H$58="",AE59=0)+AND($G$60="",$H$60="",AE61=0)+AND($G$62="",$H$62="",AE63=0)+AND($G$64="",$H$64="",AE65=0)+AND($G$66="",$H$66="",AE67=0)+AND($G$68="",$H$68="",AE69=0)+AND($G$70="",$H$70="",AE71=0)+AND($G$72="",$H$72="",AE73=0)+AND($G$74="",$H$74="",AE75=0)+AND($G$76="",$H$76="",AE77=0)+AND($G$78="",$H$78="",AE79=0))</f>
        <v>2</v>
      </c>
      <c r="AF6" s="75">
        <f>SUM(AND($G$8="",$H$8="",AF9=0)+AND($G$10="",$H$10="",AF11=0)+AND($G$12="",$H$12="",AF13=0)+AND($G$14="",$H$14="",AF15=0)+AND($G$16="",$H$16="",AF17=0)+AND($G$18="",$H$18="",AF19=0)+AND($G$20="",$H$20="",AF21=0)+AND($G$22="",$H$22="",AF23=0)+AND($G$24="",$H$24="",AF25=0)+AND($G$26="",$H$26="",AF27=0)+AND($G$28="",$H$28="",AF29=0)+AND($G$30="",$H$30="",AF31=0)+AND($G$32="",$H$32="",AF33=0)+AND($G$34="",$H$34="",AF35=0)+AND($G$36="",$H$36="",AF37=0)+AND($G$38="",$H$38="",AF39=0)+AND($G$40="",$H$40="",AF41=0)+AND($G$42="",$H$42="",AF43=0)+AND($G$44="",$H$44="",AF45=0)+AND($G$46="",$H$46="",AF47=0)+AND($G$48="",$H$48="",AF49=0)+AND($G$50="",$H$50="",AF51=0)+AND($G$52="",$H$52="",AF53=0)+AND($G$54="",$H$54="",AF55=0)+AND($G$56="",$H$56="",AF57=0)+AND($G$58="",$H$58="",AF59=0)+AND($G$60="",$H$60="",AF61=0)+AND($G$62="",$H$62="",AF63=0)+AND($G$64="",$H$64="",AF65=0)+AND($G$66="",$H$66="",AF67=0)+AND($G$68="",$H$68="",AF69=0)+AND($G$70="",$H$70="",AF71=0)+AND($G$72="",$H$72="",AF73=0)+AND($G$74="",$H$74="",AF75=0)+AND($G$76="",$H$76="",AF77=0)+AND($G$78="",$H$78="",AF79=0))</f>
        <v>0</v>
      </c>
      <c r="AG6" s="75">
        <f>SUM(AND($G$8="",$H$8="",AG9=0)+AND($G$10="",$H$10="",AG11=0)+AND($G$12="",$H$12="",AG13=0)+AND($G$14="",$H$14="",AG15=0)+AND($G$16="",$H$16="",AG17=0)+AND($G$18="",$H$18="",AG19=0)+AND($G$20="",$H$20="",AG21=0)+AND($G$22="",$H$22="",AG23=0)+AND($G$24="",$H$24="",AG25=0)+AND($G$26="",$H$26="",AG27=0)+AND($G$28="",$H$28="",AG29=0)+AND($G$30="",$H$30="",AG31=0)+AND($G$32="",$H$32="",AG33=0)+AND($G$34="",$H$34="",AG35=0)+AND($G$36="",$H$36="",AG37=0)+AND($G$38="",$H$38="",AG39=0)+AND($G$40="",$H$40="",AG41=0)+AND($G$42="",$H$42="",AG43=0)+AND($G$44="",$H$44="",AG45=0)+AND($G$46="",$H$46="",AG47=0)+AND($G$48="",$H$48="",AG49=0)+AND($G$50="",$H$50="",AG51=0)+AND($G$52="",$H$52="",AG53=0)+AND($G$54="",$H$54="",AG55=0)+AND($G$56="",$H$56="",AG57=0)+AND($G$58="",$H$58="",AG59=0)+AND($G$60="",$H$60="",AG61=0)+AND($G$62="",$H$62="",AG63=0)+AND($G$64="",$H$64="",AG65=0)+AND($G$66="",$H$66="",AG67=0)+AND($G$68="",$H$68="",AG69=0)+AND($G$70="",$H$70="",AG71=0)+AND($G$72="",$H$72="",AG73=0)+AND($G$74="",$H$74="",AG75=0)+AND($G$76="",$H$76="",AG77=0)+AND($G$78="",$H$78="",AG79=0))</f>
        <v>1</v>
      </c>
      <c r="AH6" s="75">
        <f>SUM(AND($G$8="",$H$8="",AH9=0)+AND($G$10="",$H$10="",AH11=0)+AND($G$12="",$H$12="",AH13=0)+AND($G$14="",$H$14="",AH15=0)+AND($G$16="",$H$16="",AH17=0)+AND($G$18="",$H$18="",AH19=0)+AND($G$20="",$H$20="",AH21=0)+AND($G$22="",$H$22="",AH23=0)+AND($G$24="",$H$24="",AH25=0)+AND($G$26="",$H$26="",AH27=0)+AND($G$28="",$H$28="",AH29=0)+AND($G$30="",$H$30="",AH31=0)+AND($G$32="",$H$32="",AH33=0)+AND($G$34="",$H$34="",AH35=0)+AND($G$36="",$H$36="",AH37=0)+AND($G$38="",$H$38="",AH39=0)+AND($G$40="",$H$40="",AH41=0)+AND($G$42="",$H$42="",AH43=0)+AND($G$44="",$H$44="",AH45=0)+AND($G$46="",$H$46="",AH47=0)+AND($G$48="",$H$48="",AH49=0)+AND($G$50="",$H$50="",AH51=0)+AND($G$52="",$H$52="",AH53=0)+AND($G$54="",$H$54="",AH55=0)+AND($G$56="",$H$56="",AH57=0)+AND($G$58="",$H$58="",AH59=0)+AND($G$60="",$H$60="",AH61=0)+AND($G$62="",$H$62="",AH63=0)+AND($G$64="",$H$64="",AH65=0)+AND($G$66="",$H$66="",AH67=0)+AND($G$68="",$H$68="",AH69=0)+AND($G$70="",$H$70="",AH71=0)+AND($G$72="",$H$72="",AH73=0)+AND($G$74="",$H$74="",AH75=0)+AND($G$76="",$H$76="",AH77=0)+AND($G$78="",$H$78="",AH79=0))</f>
        <v>0</v>
      </c>
      <c r="AI6" s="75">
        <f>SUM(AND($G$8="",$H$8="",AI9=0)+AND($G$10="",$H$10="",AI11=0)+AND($G$12="",$H$12="",AI13=0)+AND($G$14="",$H$14="",AI15=0)+AND($G$16="",$H$16="",AI17=0)+AND($G$18="",$H$18="",AI19=0)+AND($G$20="",$H$20="",AI21=0)+AND($G$22="",$H$22="",AI23=0)+AND($G$24="",$H$24="",AI25=0)+AND($G$26="",$H$26="",AI27=0)+AND($G$28="",$H$28="",AI29=0)+AND($G$30="",$H$30="",AI31=0)+AND($G$32="",$H$32="",AI33=0)+AND($G$34="",$H$34="",AI35=0)+AND($G$36="",$H$36="",AI37=0)+AND($G$38="",$H$38="",AI39=0)+AND($G$40="",$H$40="",AI41=0)+AND($G$42="",$H$42="",AI43=0)+AND($G$44="",$H$44="",AI45=0)+AND($G$46="",$H$46="",AI47=0)+AND($G$48="",$H$48="",AI49=0)+AND($G$50="",$H$50="",AI51=0)+AND($G$52="",$H$52="",AI53=0)+AND($G$54="",$H$54="",AI55=0)+AND($G$56="",$H$56="",AI57=0)+AND($G$58="",$H$58="",AI59=0)+AND($G$60="",$H$60="",AI61=0)+AND($G$62="",$H$62="",AI63=0)+AND($G$64="",$H$64="",AI65=0)+AND($G$66="",$H$66="",AI67=0)+AND($G$68="",$H$68="",AI69=0)+AND($G$70="",$H$70="",AI71=0)+AND($G$72="",$H$72="",AI73=0)+AND($G$74="",$H$74="",AI75=0)+AND($G$76="",$H$76="",AI77=0)+AND($G$78="",$H$78="",AI79=0))</f>
        <v>0</v>
      </c>
      <c r="AJ6" s="75">
        <f>SUM(AND($G$8="",$H$8="",AJ9=0)+AND($G$10="",$H$10="",AJ11=0)+AND($G$12="",$H$12="",AJ13=0)+AND($G$14="",$H$14="",AJ15=0)+AND($G$16="",$H$16="",AJ17=0)+AND($G$18="",$H$18="",AJ19=0)+AND($G$20="",$H$20="",AJ21=0)+AND($G$22="",$H$22="",AJ23=0)+AND($G$24="",$H$24="",AJ25=0)+AND($G$26="",$H$26="",AJ27=0)+AND($G$28="",$H$28="",AJ29=0)+AND($G$30="",$H$30="",AJ31=0)+AND($G$32="",$H$32="",AJ33=0)+AND($G$34="",$H$34="",AJ35=0)+AND($G$36="",$H$36="",AJ37=0)+AND($G$38="",$H$38="",AJ39=0)+AND($G$40="",$H$40="",AJ41=0)+AND($G$42="",$H$42="",AJ43=0)+AND($G$44="",$H$44="",AJ45=0)+AND($G$46="",$H$46="",AJ47=0)+AND($G$48="",$H$48="",AJ49=0)+AND($G$50="",$H$50="",AJ51=0)+AND($G$52="",$H$52="",AJ53=0)+AND($G$54="",$H$54="",AJ55=0)+AND($G$56="",$H$56="",AJ57=0)+AND($G$58="",$H$58="",AJ59=0)+AND($G$60="",$H$60="",AJ61=0)+AND($G$62="",$H$62="",AJ63=0)+AND($G$64="",$H$64="",AJ65=0)+AND($G$66="",$H$66="",AJ67=0)+AND($G$68="",$H$68="",AJ69=0)+AND($G$70="",$H$70="",AJ71=0)+AND($G$72="",$H$72="",AJ73=0)+AND($G$74="",$H$74="",AJ75=0)+AND($G$76="",$H$76="",AJ77=0)+AND($G$78="",$H$78="",AJ79=0))</f>
        <v>1</v>
      </c>
      <c r="AK6" s="75">
        <f>SUM(AND($G$8="",$H$8="",AK9=0)+AND($G$10="",$H$10="",AK11=0)+AND($G$12="",$H$12="",AK13=0)+AND($G$14="",$H$14="",AK15=0)+AND($G$16="",$H$16="",AK17=0)+AND($G$18="",$H$18="",AK19=0)+AND($G$20="",$H$20="",AK21=0)+AND($G$22="",$H$22="",AK23=0)+AND($G$24="",$H$24="",AK25=0)+AND($G$26="",$H$26="",AK27=0)+AND($G$28="",$H$28="",AK29=0)+AND($G$30="",$H$30="",AK31=0)+AND($G$32="",$H$32="",AK33=0)+AND($G$34="",$H$34="",AK35=0)+AND($G$36="",$H$36="",AK37=0)+AND($G$38="",$H$38="",AK39=0)+AND($G$40="",$H$40="",AK41=0)+AND($G$42="",$H$42="",AK43=0)+AND($G$44="",$H$44="",AK45=0)+AND($G$46="",$H$46="",AK47=0)+AND($G$48="",$H$48="",AK49=0)+AND($G$50="",$H$50="",AK51=0)+AND($G$52="",$H$52="",AK53=0)+AND($G$54="",$H$54="",AK55=0)+AND($G$56="",$H$56="",AK57=0)+AND($G$58="",$H$58="",AK59=0)+AND($G$60="",$H$60="",AK61=0)+AND($G$62="",$H$62="",AK63=0)+AND($G$64="",$H$64="",AK65=0)+AND($G$66="",$H$66="",AK67=0)+AND($G$68="",$H$68="",AK69=0)+AND($G$70="",$H$70="",AK71=0)+AND($G$72="",$H$72="",AK73=0)+AND($G$74="",$H$74="",AK75=0)+AND($G$76="",$H$76="",AK77=0)+AND($G$78="",$H$78="",AK79=0))</f>
        <v>0</v>
      </c>
      <c r="AL6" s="75">
        <f>SUM(AND($G$8="",$H$8="",AL9=0)+AND($G$10="",$H$10="",AL11=0)+AND($G$12="",$H$12="",AL13=0)+AND($G$14="",$H$14="",AL15=0)+AND($G$16="",$H$16="",AL17=0)+AND($G$18="",$H$18="",AL19=0)+AND($G$20="",$H$20="",AL21=0)+AND($G$22="",$H$22="",AL23=0)+AND($G$24="",$H$24="",AL25=0)+AND($G$26="",$H$26="",AL27=0)+AND($G$28="",$H$28="",AL29=0)+AND($G$30="",$H$30="",AL31=0)+AND($G$32="",$H$32="",AL33=0)+AND($G$34="",$H$34="",AL35=0)+AND($G$36="",$H$36="",AL37=0)+AND($G$38="",$H$38="",AL39=0)+AND($G$40="",$H$40="",AL41=0)+AND($G$42="",$H$42="",AL43=0)+AND($G$44="",$H$44="",AL45=0)+AND($G$46="",$H$46="",AL47=0)+AND($G$48="",$H$48="",AL49=0)+AND($G$50="",$H$50="",AL51=0)+AND($G$52="",$H$52="",AL53=0)+AND($G$54="",$H$54="",AL55=0)+AND($G$56="",$H$56="",AL57=0)+AND($G$58="",$H$58="",AL59=0)+AND($G$60="",$H$60="",AL61=0)+AND($G$62="",$H$62="",AL63=0)+AND($G$64="",$H$64="",AL65=0)+AND($G$66="",$H$66="",AL67=0)+AND($G$68="",$H$68="",AL69=0)+AND($G$70="",$H$70="",AL71=0)+AND($G$72="",$H$72="",AL73=0)+AND($G$74="",$H$74="",AL75=0)+AND($G$76="",$H$76="",AL77=0)+AND($G$78="",$H$78="",AL79=0))</f>
        <v>0</v>
      </c>
      <c r="AM6" s="75">
        <f>SUM(AND($G$8="",$H$8="",AM9=0)+AND($G$10="",$H$10="",AM11=0)+AND($G$12="",$H$12="",AM13=0)+AND($G$14="",$H$14="",AM15=0)+AND($G$16="",$H$16="",AM17=0)+AND($G$18="",$H$18="",AM19=0)+AND($G$20="",$H$20="",AM21=0)+AND($G$22="",$H$22="",AM23=0)+AND($G$24="",$H$24="",AM25=0)+AND($G$26="",$H$26="",AM27=0)+AND($G$28="",$H$28="",AM29=0)+AND($G$30="",$H$30="",AM31=0)+AND($G$32="",$H$32="",AM33=0)+AND($G$34="",$H$34="",AM35=0)+AND($G$36="",$H$36="",AM37=0)+AND($G$38="",$H$38="",AM39=0)+AND($G$40="",$H$40="",AM41=0)+AND($G$42="",$H$42="",AM43=0)+AND($G$44="",$H$44="",AM45=0)+AND($G$46="",$H$46="",AM47=0)+AND($G$48="",$H$48="",AM49=0)+AND($G$50="",$H$50="",AM51=0)+AND($G$52="",$H$52="",AM53=0)+AND($G$54="",$H$54="",AM55=0)+AND($G$56="",$H$56="",AM57=0)+AND($G$58="",$H$58="",AM59=0)+AND($G$60="",$H$60="",AM61=0)+AND($G$62="",$H$62="",AM63=0)+AND($G$64="",$H$64="",AM65=0)+AND($G$66="",$H$66="",AM67=0)+AND($G$68="",$H$68="",AM69=0)+AND($G$70="",$H$70="",AM71=0)+AND($G$72="",$H$72="",AM73=0)+AND($G$74="",$H$74="",AM75=0)+AND($G$76="",$H$76="",AM77=0)+AND($G$78="",$H$78="",AM79=0))</f>
        <v>2</v>
      </c>
      <c r="AN6" s="75">
        <f>SUM(AND($G$8="",$H$8="",AN9=0)+AND($G$10="",$H$10="",AN11=0)+AND($G$12="",$H$12="",AN13=0)+AND($G$14="",$H$14="",AN15=0)+AND($G$16="",$H$16="",AN17=0)+AND($G$18="",$H$18="",AN19=0)+AND($G$20="",$H$20="",AN21=0)+AND($G$22="",$H$22="",AN23=0)+AND($G$24="",$H$24="",AN25=0)+AND($G$26="",$H$26="",AN27=0)+AND($G$28="",$H$28="",AN29=0)+AND($G$30="",$H$30="",AN31=0)+AND($G$32="",$H$32="",AN33=0)+AND($G$34="",$H$34="",AN35=0)+AND($G$36="",$H$36="",AN37=0)+AND($G$38="",$H$38="",AN39=0)+AND($G$40="",$H$40="",AN41=0)+AND($G$42="",$H$42="",AN43=0)+AND($G$44="",$H$44="",AN45=0)+AND($G$46="",$H$46="",AN47=0)+AND($G$48="",$H$48="",AN49=0)+AND($G$50="",$H$50="",AN51=0)+AND($G$52="",$H$52="",AN53=0)+AND($G$54="",$H$54="",AN55=0)+AND($G$56="",$H$56="",AN57=0)+AND($G$58="",$H$58="",AN59=0)+AND($G$60="",$H$60="",AN61=0)+AND($G$62="",$H$62="",AN63=0)+AND($G$64="",$H$64="",AN65=0)+AND($G$66="",$H$66="",AN67=0)+AND($G$68="",$H$68="",AN69=0)+AND($G$70="",$H$70="",AN71=0)+AND($G$72="",$H$72="",AN73=0)+AND($G$74="",$H$74="",AN75=0)+AND($G$76="",$H$76="",AN77=0)+AND($G$78="",$H$78="",AN79=0))</f>
        <v>0</v>
      </c>
      <c r="AO6" s="75">
        <f>SUM(AND($G$8="",$H$8="",AO9=0)+AND($G$10="",$H$10="",AO11=0)+AND($G$12="",$H$12="",AO13=0)+AND($G$14="",$H$14="",AO15=0)+AND($G$16="",$H$16="",AO17=0)+AND($G$18="",$H$18="",AO19=0)+AND($G$20="",$H$20="",AO21=0)+AND($G$22="",$H$22="",AO23=0)+AND($G$24="",$H$24="",AO25=0)+AND($G$26="",$H$26="",AO27=0)+AND($G$28="",$H$28="",AO29=0)+AND($G$30="",$H$30="",AO31=0)+AND($G$32="",$H$32="",AO33=0)+AND($G$34="",$H$34="",AO35=0)+AND($G$36="",$H$36="",AO37=0)+AND($G$38="",$H$38="",AO39=0)+AND($G$40="",$H$40="",AO41=0)+AND($G$42="",$H$42="",AO43=0)+AND($G$44="",$H$44="",AO45=0)+AND($G$46="",$H$46="",AO47=0)+AND($G$48="",$H$48="",AO49=0)+AND($G$50="",$H$50="",AO51=0)+AND($G$52="",$H$52="",AO53=0)+AND($G$54="",$H$54="",AO55=0)+AND($G$56="",$H$56="",AO57=0)+AND($G$58="",$H$58="",AO59=0)+AND($G$60="",$H$60="",AO61=0)+AND($G$62="",$H$62="",AO63=0)+AND($G$64="",$H$64="",AO65=0)+AND($G$66="",$H$66="",AO67=0)+AND($G$68="",$H$68="",AO69=0)+AND($G$70="",$H$70="",AO71=0)+AND($G$72="",$H$72="",AO73=0)+AND($G$74="",$H$74="",AO75=0)+AND($G$76="",$H$76="",AO77=0)+AND($G$78="",$H$78="",AO79=0))</f>
        <v>0</v>
      </c>
      <c r="AP6" s="75">
        <f>SUM(AND($G$8="",$H$8="",AP9=0)+AND($G$10="",$H$10="",AP11=0)+AND($G$12="",$H$12="",AP13=0)+AND($G$14="",$H$14="",AP15=0)+AND($G$16="",$H$16="",AP17=0)+AND($G$18="",$H$18="",AP19=0)+AND($G$20="",$H$20="",AP21=0)+AND($G$22="",$H$22="",AP23=0)+AND($G$24="",$H$24="",AP25=0)+AND($G$26="",$H$26="",AP27=0)+AND($G$28="",$H$28="",AP29=0)+AND($G$30="",$H$30="",AP31=0)+AND($G$32="",$H$32="",AP33=0)+AND($G$34="",$H$34="",AP35=0)+AND($G$36="",$H$36="",AP37=0)+AND($G$38="",$H$38="",AP39=0)+AND($G$40="",$H$40="",AP41=0)+AND($G$42="",$H$42="",AP43=0)+AND($G$44="",$H$44="",AP45=0)+AND($G$46="",$H$46="",AP47=0)+AND($G$48="",$H$48="",AP49=0)+AND($G$50="",$H$50="",AP51=0)+AND($G$52="",$H$52="",AP53=0)+AND($G$54="",$H$54="",AP55=0)+AND($G$56="",$H$56="",AP57=0)+AND($G$58="",$H$58="",AP59=0)+AND($G$60="",$H$60="",AP61=0)+AND($G$62="",$H$62="",AP63=0)+AND($G$64="",$H$64="",AP65=0)+AND($G$66="",$H$66="",AP67=0)+AND($G$68="",$H$68="",AP69=0)+AND($G$70="",$H$70="",AP71=0)+AND($G$72="",$H$72="",AP73=0)+AND($G$74="",$H$74="",AP75=0)+AND($G$76="",$H$76="",AP77=0)+AND($G$78="",$H$78="",AP79=0))</f>
        <v>0</v>
      </c>
      <c r="AQ6" s="75">
        <f>SUM(AND($G$8="",$H$8="",AQ9=0)+AND($G$10="",$H$10="",AQ11=0)+AND($G$12="",$H$12="",AQ13=0)+AND($G$14="",$H$14="",AQ15=0)+AND($G$16="",$H$16="",AQ17=0)+AND($G$18="",$H$18="",AQ19=0)+AND($G$20="",$H$20="",AQ21=0)+AND($G$22="",$H$22="",AQ23=0)+AND($G$24="",$H$24="",AQ25=0)+AND($G$26="",$H$26="",AQ27=0)+AND($G$28="",$H$28="",AQ29=0)+AND($G$30="",$H$30="",AQ31=0)+AND($G$32="",$H$32="",AQ33=0)+AND($G$34="",$H$34="",AQ35=0)+AND($G$36="",$H$36="",AQ37=0)+AND($G$38="",$H$38="",AQ39=0)+AND($G$40="",$H$40="",AQ41=0)+AND($G$42="",$H$42="",AQ43=0)+AND($G$44="",$H$44="",AQ45=0)+AND($G$46="",$H$46="",AQ47=0)+AND($G$48="",$H$48="",AQ49=0)+AND($G$50="",$H$50="",AQ51=0)+AND($G$52="",$H$52="",AQ53=0)+AND($G$54="",$H$54="",AQ55=0)+AND($G$56="",$H$56="",AQ57=0)+AND($G$58="",$H$58="",AQ59=0)+AND($G$60="",$H$60="",AQ61=0)+AND($G$62="",$H$62="",AQ63=0)+AND($G$64="",$H$64="",AQ65=0)+AND($G$66="",$H$66="",AQ67=0)+AND($G$68="",$H$68="",AQ69=0)+AND($G$70="",$H$70="",AQ71=0)+AND($G$72="",$H$72="",AQ73=0)+AND($G$74="",$H$74="",AQ75=0)+AND($G$76="",$H$76="",AQ77=0)+AND($G$78="",$H$78="",AQ79=0))</f>
        <v>0</v>
      </c>
      <c r="AR6" s="75">
        <f>SUM(AND($G$8="",$H$8="",AR9=0)+AND($G$10="",$H$10="",AR11=0)+AND($G$12="",$H$12="",AR13=0)+AND($G$14="",$H$14="",AR15=0)+AND($G$16="",$H$16="",AR17=0)+AND($G$18="",$H$18="",AR19=0)+AND($G$20="",$H$20="",AR21=0)+AND($G$22="",$H$22="",AR23=0)+AND($G$24="",$H$24="",AR25=0)+AND($G$26="",$H$26="",AR27=0)+AND($G$28="",$H$28="",AR29=0)+AND($G$30="",$H$30="",AR31=0)+AND($G$32="",$H$32="",AR33=0)+AND($G$34="",$H$34="",AR35=0)+AND($G$36="",$H$36="",AR37=0)+AND($G$38="",$H$38="",AR39=0)+AND($G$40="",$H$40="",AR41=0)+AND($G$42="",$H$42="",AR43=0)+AND($G$44="",$H$44="",AR45=0)+AND($G$46="",$H$46="",AR47=0)+AND($G$48="",$H$48="",AR49=0)+AND($G$50="",$H$50="",AR51=0)+AND($G$52="",$H$52="",AR53=0)+AND($G$54="",$H$54="",AR55=0)+AND($G$56="",$H$56="",AR57=0)+AND($G$58="",$H$58="",AR59=0)+AND($G$60="",$H$60="",AR61=0)+AND($G$62="",$H$62="",AR63=0)+AND($G$64="",$H$64="",AR65=0)+AND($G$66="",$H$66="",AR67=0)+AND($G$68="",$H$68="",AR69=0)+AND($G$70="",$H$70="",AR71=0)+AND($G$72="",$H$72="",AR73=0)+AND($G$74="",$H$74="",AR75=0)+AND($G$76="",$H$76="",AR77=0)+AND($G$78="",$H$78="",AR79=0))</f>
        <v>1</v>
      </c>
      <c r="AS6" s="163">
        <f>SUM(AND($G$8="",$H$8="",AS9=0)+AND($G$10="",$H$10="",AS11=0)+AND($G$12="",$H$12="",AS13=0)+AND($G$14="",$H$14="",AS15=0)+AND($G$16="",$H$16="",AS17=0)+AND($G$18="",$H$18="",AS19=0)+AND($G$20="",$H$20="",AS21=0)+AND($G$22="",$H$22="",AS23=0)+AND($G$24="",$H$24="",AS25=0)+AND($G$26="",$H$26="",AS27=0)+AND($G$28="",$H$28="",AS29=0)+AND($G$30="",$H$30="",AS31=0)+AND($G$32="",$H$32="",AS33=0)+AND($G$34="",$H$34="",AS35=0)+AND($G$36="",$H$36="",AS37=0)+AND($G$38="",$H$38="",AS39=0)+AND($G$40="",$H$40="",AS41=0)+AND($G$42="",$H$42="",AS43=0)+AND($G$44="",$H$44="",AS45=0)+AND($G$46="",$H$46="",AS47=0)+AND($G$48="",$H$48="",AS49=0)+AND($G$50="",$H$50="",AS51=0)+AND($G$52="",$H$52="",AS53=0)+AND($G$54="",$H$54="",AS55=0)+AND($G$56="",$H$56="",AS57=0)+AND($G$58="",$H$58="",AS59=0)+AND($G$60="",$H$60="",AS61=0)+AND($G$62="",$H$62="",AS63=0)+AND($G$64="",$H$64="",AS65=0)+AND($G$66="",$H$66="",AS67=0)+AND($G$68="",$H$68="",AS69=0)+AND($G$70="",$H$70="",AS71=0)+AND($G$72="",$H$72="",AS73=0)+AND($G$74="",$H$74="",AS75=0)+AND($G$76="",$H$76="",AS77=0)+AND($G$78="",$H$78="",AS79=0))</f>
        <v>0</v>
      </c>
      <c r="AT6" s="79">
        <f>SUM(AND($G$8="",$H$8="",AT9=0)+AND($G$10="",$H$10="",AT11=0)+AND($G$12="",$H$12="",AT13=0)+AND($G$14="",$H$14="",AT15=0)+AND($G$16="",$H$16="",AT17=0)+AND($G$18="",$H$18="",AT19=0)+AND($G$20="",$H$20="",AT21=0)+AND($G$22="",$H$22="",AT23=0)+AND($G$24="",$H$24="",AT25=0)+AND($G$26="",$H$26="",AT27=0)+AND($G$28="",$H$28="",AT29=0)+AND($G$30="",$H$30="",AT31=0)+AND($G$32="",$H$32="",AT33=0)+AND($G$34="",$H$34="",AT35=0)+AND($G$36="",$H$36="",AT37=0)+AND($G$38="",$H$38="",AT39=0)+AND($G$40="",$H$40="",AT41=0)+AND($G$42="",$H$42="",AT43=0)+AND($G$44="",$H$44="",AT45=0)+AND($G$46="",$H$46="",AT47=0)+AND($G$48="",$H$48="",AT49=0)+AND($G$50="",$H$50="",AT51=0)+AND($G$52="",$H$52="",AT53=0)+AND($G$54="",$H$54="",AT55=0)+AND($G$56="",$H$56="",AT57=0)+AND($G$58="",$H$58="",AT59=0)+AND($G$60="",$H$60="",AT61=0)+AND($G$62="",$H$62="",AT63=0)+AND($G$64="",$H$64="",AT65=0)+AND($G$66="",$H$66="",AT67=0)+AND($G$68="",$H$68="",AT69=0)+AND($G$70="",$H$70="",AT71=0)+AND($G$72="",$H$72="",AT73=0)+AND($G$74="",$H$74="",AT75=0)+AND($G$76="",$H$76="",AT77=0)+AND($G$78="",$H$78="",AT79=0))</f>
        <v>0</v>
      </c>
    </row>
    <row r="7" spans="1:54" ht="14.4" hidden="1" x14ac:dyDescent="0.3">
      <c r="A7" s="61"/>
      <c r="B7" s="61"/>
      <c r="C7" s="61"/>
      <c r="D7" s="61"/>
      <c r="E7" s="61"/>
      <c r="F7" s="61"/>
      <c r="G7" s="62"/>
      <c r="H7" s="62"/>
      <c r="I7" s="63"/>
      <c r="J7" s="76">
        <f>SUM(AND($G$80="",$H$80="",J81=0)+AND($G$82="",$H$82="",J83=0)+AND($G$84="",$H$84="",J85=0)+AND($G$86="",$H$86="",J87=0)+AND($G$88="",$H$88="",J89=0)+AND($G$90="",$H$90="",J91=0)+AND($G$92="",$H$92="",J93=0)+AND($G$94="",$H$94="",J95=0)+AND($G$96="",$H$96="",J97=0)+AND($G$98="",$H$98="",J99=0)+AND($G$100="",$H$100="",J101=0)+AND($G$102="",$H$102="",J103=0)+AND($G$104="",$H$104="",J105=0)+AND($G$106="",$H$106="",J107=0)+AND($G$108="",$H$108="",J109=0)+AND($G$110="",$H$110="",J111=0)+AND($G$112="",$H$112="",J113=0)+AND($G$114="",$H$114="",J115=0)+AND($G$116="",$H$116="",J117=0)+AND($G$118="",$H$118="",J119=0)+AND($G$120="",$H$120="",J121=0)+AND($G$122="",$H$122="",J123=0)+AND($G$124="",$H$124="",J125=0)+AND($G$126="",$H$126="",J127=0)+AND($G$128="",$H$128="",J129=0)+AND($G$130="",$H$130="",J131=0)+AND($G$132="",$H$132="",J133=0)+AND($G$134="",$H$134="",J135=0)+AND($G$136="",$H$136="",J137=0)+AND($G$138="",$H$138="",J139=0)+AND($G$140="",$H$140="",J141=0)+AND($G$142="",$H$142="",J143=0)+AND($G$144="",$H$144="",J145=0)+AND($G$146="",$H$146="",J147=0)+AND($G$148="",$H$148="",J149=0)+AND($G$150="",$H$150="",J151=0))</f>
        <v>0</v>
      </c>
      <c r="K7" s="77">
        <f>SUM(AND($G$80="",$H$80="",K81=0)+AND($G$82="",$H$82="",K83=0)+AND($G$84="",$H$84="",K85=0)+AND($G$86="",$H$86="",K87=0)+AND($G$88="",$H$88="",K89=0)+AND($G$90="",$H$90="",K91=0)+AND($G$92="",$H$92="",K93=0)+AND($G$94="",$H$94="",K95=0)+AND($G$96="",$H$96="",K97=0)+AND($G$98="",$H$98="",K99=0)+AND($G$100="",$H$100="",K101=0)+AND($G$102="",$H$102="",K103=0)+AND($G$104="",$H$104="",K105=0)+AND($G$106="",$H$106="",K107=0)+AND($G$108="",$H$108="",K109=0)+AND($G$110="",$H$110="",K111=0)+AND($G$112="",$H$112="",K113=0)+AND($G$114="",$H$114="",K115=0)+AND($G$116="",$H$116="",K117=0)+AND($G$118="",$H$118="",K119=0)+AND($G$120="",$H$120="",K121=0)+AND($G$122="",$H$122="",K123=0)+AND($G$124="",$H$124="",K125=0)+AND($G$126="",$H$126="",K127=0)+AND($G$128="",$H$128="",K129=0)+AND($G$130="",$H$130="",K131=0)+AND($G$132="",$H$132="",K133=0)+AND($G$134="",$H$134="",K135=0)+AND($G$136="",$H$136="",K137=0)+AND($G$138="",$H$138="",K139=0)+AND($G$140="",$H$140="",K141=0)+AND($G$142="",$H$142="",K143=0)+AND($G$144="",$H$144="",K145=0)+AND($G$146="",$H$146="",K147=0)+AND($G$148="",$H$148="",K149=0)+AND($G$150="",$H$150="",K151=0))</f>
        <v>0</v>
      </c>
      <c r="L7" s="77">
        <f>SUM(AND($G$80="",$H$80="",L81=0)+AND($G$82="",$H$82="",L83=0)+AND($G$84="",$H$84="",L85=0)+AND($G$86="",$H$86="",L87=0)+AND($G$88="",$H$88="",L89=0)+AND($G$90="",$H$90="",L91=0)+AND($G$92="",$H$92="",L93=0)+AND($G$94="",$H$94="",L95=0)+AND($G$96="",$H$96="",L97=0)+AND($G$98="",$H$98="",L99=0)+AND($G$100="",$H$100="",L101=0)+AND($G$102="",$H$102="",L103=0)+AND($G$104="",$H$104="",L105=0)+AND($G$106="",$H$106="",L107=0)+AND($G$108="",$H$108="",L109=0)+AND($G$110="",$H$110="",L111=0)+AND($G$112="",$H$112="",L113=0)+AND($G$114="",$H$114="",L115=0)+AND($G$116="",$H$116="",L117=0)+AND($G$118="",$H$118="",L119=0)+AND($G$120="",$H$120="",L121=0)+AND($G$122="",$H$122="",L123=0)+AND($G$124="",$H$124="",L125=0)+AND($G$126="",$H$126="",L127=0)+AND($G$128="",$H$128="",L129=0)+AND($G$130="",$H$130="",L131=0)+AND($G$132="",$H$132="",L133=0)+AND($G$134="",$H$134="",L135=0)+AND($G$136="",$H$136="",L137=0)+AND($G$138="",$H$138="",L139=0)+AND($G$140="",$H$140="",L141=0)+AND($G$142="",$H$142="",L143=0)+AND($G$144="",$H$144="",L145=0)+AND($G$146="",$H$146="",L147=0)+AND($G$148="",$H$148="",L149=0)+AND($G$150="",$H$150="",L151=0))</f>
        <v>0</v>
      </c>
      <c r="M7" s="77">
        <f>SUM(AND($G$80="",$H$80="",M81=0)+AND($G$82="",$H$82="",M83=0)+AND($G$84="",$H$84="",M85=0)+AND($G$86="",$H$86="",M87=0)+AND($G$88="",$H$88="",M89=0)+AND($G$90="",$H$90="",M91=0)+AND($G$92="",$H$92="",M93=0)+AND($G$94="",$H$94="",M95=0)+AND($G$96="",$H$96="",M97=0)+AND($G$98="",$H$98="",M99=0)+AND($G$100="",$H$100="",M101=0)+AND($G$102="",$H$102="",M103=0)+AND($G$104="",$H$104="",M105=0)+AND($G$106="",$H$106="",M107=0)+AND($G$108="",$H$108="",M109=0)+AND($G$110="",$H$110="",M111=0)+AND($G$112="",$H$112="",M113=0)+AND($G$114="",$H$114="",M115=0)+AND($G$116="",$H$116="",M117=0)+AND($G$118="",$H$118="",M119=0)+AND($G$120="",$H$120="",M121=0)+AND($G$122="",$H$122="",M123=0)+AND($G$124="",$H$124="",M125=0)+AND($G$126="",$H$126="",M127=0)+AND($G$128="",$H$128="",M129=0)+AND($G$130="",$H$130="",M131=0)+AND($G$132="",$H$132="",M133=0)+AND($G$134="",$H$134="",M135=0)+AND($G$136="",$H$136="",M137=0)+AND($G$138="",$H$138="",M139=0)+AND($G$140="",$H$140="",M141=0)+AND($G$142="",$H$142="",M143=0)+AND($G$144="",$H$144="",M145=0)+AND($G$146="",$H$146="",M147=0)+AND($G$148="",$H$148="",M149=0)+AND($G$150="",$H$150="",M151=0))</f>
        <v>2</v>
      </c>
      <c r="N7" s="77">
        <f>SUM(AND($G$80="",$H$80="",N81=0)+AND($G$82="",$H$82="",N83=0)+AND($G$84="",$H$84="",N85=0)+AND($G$86="",$H$86="",N87=0)+AND($G$88="",$H$88="",N89=0)+AND($G$90="",$H$90="",N91=0)+AND($G$92="",$H$92="",N93=0)+AND($G$94="",$H$94="",N95=0)+AND($G$96="",$H$96="",N97=0)+AND($G$98="",$H$98="",N99=0)+AND($G$100="",$H$100="",N101=0)+AND($G$102="",$H$102="",N103=0)+AND($G$104="",$H$104="",N105=0)+AND($G$106="",$H$106="",N107=0)+AND($G$108="",$H$108="",N109=0)+AND($G$110="",$H$110="",N111=0)+AND($G$112="",$H$112="",N113=0)+AND($G$114="",$H$114="",N115=0)+AND($G$116="",$H$116="",N117=0)+AND($G$118="",$H$118="",N119=0)+AND($G$120="",$H$120="",N121=0)+AND($G$122="",$H$122="",N123=0)+AND($G$124="",$H$124="",N125=0)+AND($G$126="",$H$126="",N127=0)+AND($G$128="",$H$128="",N129=0)+AND($G$130="",$H$130="",N131=0)+AND($G$132="",$H$132="",N133=0)+AND($G$134="",$H$134="",N135=0)+AND($G$136="",$H$136="",N137=0)+AND($G$138="",$H$138="",N139=0)+AND($G$140="",$H$140="",N141=0)+AND($G$142="",$H$142="",N143=0)+AND($G$144="",$H$144="",N145=0)+AND($G$146="",$H$146="",N147=0)+AND($G$148="",$H$148="",N149=0)+AND($G$150="",$H$150="",N151=0))</f>
        <v>0</v>
      </c>
      <c r="O7" s="77">
        <f>SUM(AND($G$80="",$H$80="",O81=0)+AND($G$82="",$H$82="",O83=0)+AND($G$84="",$H$84="",O85=0)+AND($G$86="",$H$86="",O87=0)+AND($G$88="",$H$88="",O89=0)+AND($G$90="",$H$90="",O91=0)+AND($G$92="",$H$92="",O93=0)+AND($G$94="",$H$94="",O95=0)+AND($G$96="",$H$96="",O97=0)+AND($G$98="",$H$98="",O99=0)+AND($G$100="",$H$100="",O101=0)+AND($G$102="",$H$102="",O103=0)+AND($G$104="",$H$104="",O105=0)+AND($G$106="",$H$106="",O107=0)+AND($G$108="",$H$108="",O109=0)+AND($G$110="",$H$110="",O111=0)+AND($G$112="",$H$112="",O113=0)+AND($G$114="",$H$114="",O115=0)+AND($G$116="",$H$116="",O117=0)+AND($G$118="",$H$118="",O119=0)+AND($G$120="",$H$120="",O121=0)+AND($G$122="",$H$122="",O123=0)+AND($G$124="",$H$124="",O125=0)+AND($G$126="",$H$126="",O127=0)+AND($G$128="",$H$128="",O129=0)+AND($G$130="",$H$130="",O131=0)+AND($G$132="",$H$132="",O133=0)+AND($G$134="",$H$134="",O135=0)+AND($G$136="",$H$136="",O137=0)+AND($G$138="",$H$138="",O139=0)+AND($G$140="",$H$140="",O141=0)+AND($G$142="",$H$142="",O143=0)+AND($G$144="",$H$144="",O145=0)+AND($G$146="",$H$146="",O147=0)+AND($G$148="",$H$148="",O149=0)+AND($G$150="",$H$150="",O151=0))</f>
        <v>0</v>
      </c>
      <c r="P7" s="77">
        <f>SUM(AND($G$80="",$H$80="",P81=0)+AND($G$82="",$H$82="",P83=0)+AND($G$84="",$H$84="",P85=0)+AND($G$86="",$H$86="",P87=0)+AND($G$88="",$H$88="",P89=0)+AND($G$90="",$H$90="",P91=0)+AND($G$92="",$H$92="",P93=0)+AND($G$94="",$H$94="",P95=0)+AND($G$96="",$H$96="",P97=0)+AND($G$98="",$H$98="",P99=0)+AND($G$100="",$H$100="",P101=0)+AND($G$102="",$H$102="",P103=0)+AND($G$104="",$H$104="",P105=0)+AND($G$106="",$H$106="",P107=0)+AND($G$108="",$H$108="",P109=0)+AND($G$110="",$H$110="",P111=0)+AND($G$112="",$H$112="",P113=0)+AND($G$114="",$H$114="",P115=0)+AND($G$116="",$H$116="",P117=0)+AND($G$118="",$H$118="",P119=0)+AND($G$120="",$H$120="",P121=0)+AND($G$122="",$H$122="",P123=0)+AND($G$124="",$H$124="",P125=0)+AND($G$126="",$H$126="",P127=0)+AND($G$128="",$H$128="",P129=0)+AND($G$130="",$H$130="",P131=0)+AND($G$132="",$H$132="",P133=0)+AND($G$134="",$H$134="",P135=0)+AND($G$136="",$H$136="",P137=0)+AND($G$138="",$H$138="",P139=0)+AND($G$140="",$H$140="",P141=0)+AND($G$142="",$H$142="",P143=0)+AND($G$144="",$H$144="",P145=0)+AND($G$146="",$H$146="",P147=0)+AND($G$148="",$H$148="",P149=0)+AND($G$150="",$H$150="",P151=0))</f>
        <v>0</v>
      </c>
      <c r="Q7" s="77">
        <f>SUM(AND($G$80="",$H$80="",Q81=0)+AND($G$82="",$H$82="",Q83=0)+AND($G$84="",$H$84="",Q85=0)+AND($G$86="",$H$86="",Q87=0)+AND($G$88="",$H$88="",Q89=0)+AND($G$90="",$H$90="",Q91=0)+AND($G$92="",$H$92="",Q93=0)+AND($G$94="",$H$94="",Q95=0)+AND($G$96="",$H$96="",Q97=0)+AND($G$98="",$H$98="",Q99=0)+AND($G$100="",$H$100="",Q101=0)+AND($G$102="",$H$102="",Q103=0)+AND($G$104="",$H$104="",Q105=0)+AND($G$106="",$H$106="",Q107=0)+AND($G$108="",$H$108="",Q109=0)+AND($G$110="",$H$110="",Q111=0)+AND($G$112="",$H$112="",Q113=0)+AND($G$114="",$H$114="",Q115=0)+AND($G$116="",$H$116="",Q117=0)+AND($G$118="",$H$118="",Q119=0)+AND($G$120="",$H$120="",Q121=0)+AND($G$122="",$H$122="",Q123=0)+AND($G$124="",$H$124="",Q125=0)+AND($G$126="",$H$126="",Q127=0)+AND($G$128="",$H$128="",Q129=0)+AND($G$130="",$H$130="",Q131=0)+AND($G$132="",$H$132="",Q133=0)+AND($G$134="",$H$134="",Q135=0)+AND($G$136="",$H$136="",Q137=0)+AND($G$138="",$H$138="",Q139=0)+AND($G$140="",$H$140="",Q141=0)+AND($G$142="",$H$142="",Q143=0)+AND($G$144="",$H$144="",Q145=0)+AND($G$146="",$H$146="",Q147=0)+AND($G$148="",$H$148="",Q149=0)+AND($G$150="",$H$150="",Q151=0))</f>
        <v>1</v>
      </c>
      <c r="R7" s="77">
        <f>SUM(AND($G$80="",$H$80="",R81=0)+AND($G$82="",$H$82="",R83=0)+AND($G$84="",$H$84="",R85=0)+AND($G$86="",$H$86="",R87=0)+AND($G$88="",$H$88="",R89=0)+AND($G$90="",$H$90="",R91=0)+AND($G$92="",$H$92="",R93=0)+AND($G$94="",$H$94="",R95=0)+AND($G$96="",$H$96="",R97=0)+AND($G$98="",$H$98="",R99=0)+AND($G$100="",$H$100="",R101=0)+AND($G$102="",$H$102="",R103=0)+AND($G$104="",$H$104="",R105=0)+AND($G$106="",$H$106="",R107=0)+AND($G$108="",$H$108="",R109=0)+AND($G$110="",$H$110="",R111=0)+AND($G$112="",$H$112="",R113=0)+AND($G$114="",$H$114="",R115=0)+AND($G$116="",$H$116="",R117=0)+AND($G$118="",$H$118="",R119=0)+AND($G$120="",$H$120="",R121=0)+AND($G$122="",$H$122="",R123=0)+AND($G$124="",$H$124="",R125=0)+AND($G$126="",$H$126="",R127=0)+AND($G$128="",$H$128="",R129=0)+AND($G$130="",$H$130="",R131=0)+AND($G$132="",$H$132="",R133=0)+AND($G$134="",$H$134="",R135=0)+AND($G$136="",$H$136="",R137=0)+AND($G$138="",$H$138="",R139=0)+AND($G$140="",$H$140="",R141=0)+AND($G$142="",$H$142="",R143=0)+AND($G$144="",$H$144="",R145=0)+AND($G$146="",$H$146="",R147=0)+AND($G$148="",$H$148="",R149=0)+AND($G$150="",$H$150="",R151=0))</f>
        <v>0</v>
      </c>
      <c r="S7" s="77">
        <f>SUM(AND($G$80="",$H$80="",S81=0)+AND($G$82="",$H$82="",S83=0)+AND($G$84="",$H$84="",S85=0)+AND($G$86="",$H$86="",S87=0)+AND($G$88="",$H$88="",S89=0)+AND($G$90="",$H$90="",S91=0)+AND($G$92="",$H$92="",S93=0)+AND($G$94="",$H$94="",S95=0)+AND($G$96="",$H$96="",S97=0)+AND($G$98="",$H$98="",S99=0)+AND($G$100="",$H$100="",S101=0)+AND($G$102="",$H$102="",S103=0)+AND($G$104="",$H$104="",S105=0)+AND($G$106="",$H$106="",S107=0)+AND($G$108="",$H$108="",S109=0)+AND($G$110="",$H$110="",S111=0)+AND($G$112="",$H$112="",S113=0)+AND($G$114="",$H$114="",S115=0)+AND($G$116="",$H$116="",S117=0)+AND($G$118="",$H$118="",S119=0)+AND($G$120="",$H$120="",S121=0)+AND($G$122="",$H$122="",S123=0)+AND($G$124="",$H$124="",S125=0)+AND($G$126="",$H$126="",S127=0)+AND($G$128="",$H$128="",S129=0)+AND($G$130="",$H$130="",S131=0)+AND($G$132="",$H$132="",S133=0)+AND($G$134="",$H$134="",S135=0)+AND($G$136="",$H$136="",S137=0)+AND($G$138="",$H$138="",S139=0)+AND($G$140="",$H$140="",S141=0)+AND($G$142="",$H$142="",S143=0)+AND($G$144="",$H$144="",S145=0)+AND($G$146="",$H$146="",S147=0)+AND($G$148="",$H$148="",S149=0)+AND($G$150="",$H$150="",S151=0))</f>
        <v>0</v>
      </c>
      <c r="T7" s="77">
        <f>SUM(AND($G$80="",$H$80="",T81=0)+AND($G$82="",$H$82="",T83=0)+AND($G$84="",$H$84="",T85=0)+AND($G$86="",$H$86="",T87=0)+AND($G$88="",$H$88="",T89=0)+AND($G$90="",$H$90="",T91=0)+AND($G$92="",$H$92="",T93=0)+AND($G$94="",$H$94="",T95=0)+AND($G$96="",$H$96="",T97=0)+AND($G$98="",$H$98="",T99=0)+AND($G$100="",$H$100="",T101=0)+AND($G$102="",$H$102="",T103=0)+AND($G$104="",$H$104="",T105=0)+AND($G$106="",$H$106="",T107=0)+AND($G$108="",$H$108="",T109=0)+AND($G$110="",$H$110="",T111=0)+AND($G$112="",$H$112="",T113=0)+AND($G$114="",$H$114="",T115=0)+AND($G$116="",$H$116="",T117=0)+AND($G$118="",$H$118="",T119=0)+AND($G$120="",$H$120="",T121=0)+AND($G$122="",$H$122="",T123=0)+AND($G$124="",$H$124="",T125=0)+AND($G$126="",$H$126="",T127=0)+AND($G$128="",$H$128="",T129=0)+AND($G$130="",$H$130="",T131=0)+AND($G$132="",$H$132="",T133=0)+AND($G$134="",$H$134="",T135=0)+AND($G$136="",$H$136="",T137=0)+AND($G$138="",$H$138="",T139=0)+AND($G$140="",$H$140="",T141=0)+AND($G$142="",$H$142="",T143=0)+AND($G$144="",$H$144="",T145=0)+AND($G$146="",$H$146="",T147=0)+AND($G$148="",$H$148="",T149=0)+AND($G$150="",$H$150="",T151=0))</f>
        <v>0</v>
      </c>
      <c r="U7" s="77">
        <f>SUM(AND($G$80="",$H$80="",U81=0)+AND($G$82="",$H$82="",U83=0)+AND($G$84="",$H$84="",U85=0)+AND($G$86="",$H$86="",U87=0)+AND($G$88="",$H$88="",U89=0)+AND($G$90="",$H$90="",U91=0)+AND($G$92="",$H$92="",U93=0)+AND($G$94="",$H$94="",U95=0)+AND($G$96="",$H$96="",U97=0)+AND($G$98="",$H$98="",U99=0)+AND($G$100="",$H$100="",U101=0)+AND($G$102="",$H$102="",U103=0)+AND($G$104="",$H$104="",U105=0)+AND($G$106="",$H$106="",U107=0)+AND($G$108="",$H$108="",U109=0)+AND($G$110="",$H$110="",U111=0)+AND($G$112="",$H$112="",U113=0)+AND($G$114="",$H$114="",U115=0)+AND($G$116="",$H$116="",U117=0)+AND($G$118="",$H$118="",U119=0)+AND($G$120="",$H$120="",U121=0)+AND($G$122="",$H$122="",U123=0)+AND($G$124="",$H$124="",U125=0)+AND($G$126="",$H$126="",U127=0)+AND($G$128="",$H$128="",U129=0)+AND($G$130="",$H$130="",U131=0)+AND($G$132="",$H$132="",U133=0)+AND($G$134="",$H$134="",U135=0)+AND($G$136="",$H$136="",U137=0)+AND($G$138="",$H$138="",U139=0)+AND($G$140="",$H$140="",U141=0)+AND($G$142="",$H$142="",U143=0)+AND($G$144="",$H$144="",U145=0)+AND($G$146="",$H$146="",U147=0)+AND($G$148="",$H$148="",U149=0)+AND($G$150="",$H$150="",U151=0))</f>
        <v>0</v>
      </c>
      <c r="V7" s="77">
        <f>SUM(AND($G$80="",$H$80="",V81=0)+AND($G$82="",$H$82="",V83=0)+AND($G$84="",$H$84="",V85=0)+AND($G$86="",$H$86="",V87=0)+AND($G$88="",$H$88="",V89=0)+AND($G$90="",$H$90="",V91=0)+AND($G$92="",$H$92="",V93=0)+AND($G$94="",$H$94="",V95=0)+AND($G$96="",$H$96="",V97=0)+AND($G$98="",$H$98="",V99=0)+AND($G$100="",$H$100="",V101=0)+AND($G$102="",$H$102="",V103=0)+AND($G$104="",$H$104="",V105=0)+AND($G$106="",$H$106="",V107=0)+AND($G$108="",$H$108="",V109=0)+AND($G$110="",$H$110="",V111=0)+AND($G$112="",$H$112="",V113=0)+AND($G$114="",$H$114="",V115=0)+AND($G$116="",$H$116="",V117=0)+AND($G$118="",$H$118="",V119=0)+AND($G$120="",$H$120="",V121=0)+AND($G$122="",$H$122="",V123=0)+AND($G$124="",$H$124="",V125=0)+AND($G$126="",$H$126="",V127=0)+AND($G$128="",$H$128="",V129=0)+AND($G$130="",$H$130="",V131=0)+AND($G$132="",$H$132="",V133=0)+AND($G$134="",$H$134="",V135=0)+AND($G$136="",$H$136="",V137=0)+AND($G$138="",$H$138="",V139=0)+AND($G$140="",$H$140="",V141=0)+AND($G$142="",$H$142="",V143=0)+AND($G$144="",$H$144="",V145=0)+AND($G$146="",$H$146="",V147=0)+AND($G$148="",$H$148="",V149=0)+AND($G$150="",$H$150="",V151=0))</f>
        <v>1</v>
      </c>
      <c r="W7" s="77">
        <f>SUM(AND($G$80="",$H$80="",W81=0)+AND($G$82="",$H$82="",W83=0)+AND($G$84="",$H$84="",W85=0)+AND($G$86="",$H$86="",W87=0)+AND($G$88="",$H$88="",W89=0)+AND($G$90="",$H$90="",W91=0)+AND($G$92="",$H$92="",W93=0)+AND($G$94="",$H$94="",W95=0)+AND($G$96="",$H$96="",W97=0)+AND($G$98="",$H$98="",W99=0)+AND($G$100="",$H$100="",W101=0)+AND($G$102="",$H$102="",W103=0)+AND($G$104="",$H$104="",W105=0)+AND($G$106="",$H$106="",W107=0)+AND($G$108="",$H$108="",W109=0)+AND($G$110="",$H$110="",W111=0)+AND($G$112="",$H$112="",W113=0)+AND($G$114="",$H$114="",W115=0)+AND($G$116="",$H$116="",W117=0)+AND($G$118="",$H$118="",W119=0)+AND($G$120="",$H$120="",W121=0)+AND($G$122="",$H$122="",W123=0)+AND($G$124="",$H$124="",W125=0)+AND($G$126="",$H$126="",W127=0)+AND($G$128="",$H$128="",W129=0)+AND($G$130="",$H$130="",W131=0)+AND($G$132="",$H$132="",W133=0)+AND($G$134="",$H$134="",W135=0)+AND($G$136="",$H$136="",W137=0)+AND($G$138="",$H$138="",W139=0)+AND($G$140="",$H$140="",W141=0)+AND($G$142="",$H$142="",W143=0)+AND($G$144="",$H$144="",W145=0)+AND($G$146="",$H$146="",W147=0)+AND($G$148="",$H$148="",W149=0)+AND($G$150="",$H$150="",W151=0))</f>
        <v>0</v>
      </c>
      <c r="X7" s="77">
        <f>SUM(AND($G$80="",$H$80="",X81=0)+AND($G$82="",$H$82="",X83=0)+AND($G$84="",$H$84="",X85=0)+AND($G$86="",$H$86="",X87=0)+AND($G$88="",$H$88="",X89=0)+AND($G$90="",$H$90="",X91=0)+AND($G$92="",$H$92="",X93=0)+AND($G$94="",$H$94="",X95=0)+AND($G$96="",$H$96="",X97=0)+AND($G$98="",$H$98="",X99=0)+AND($G$100="",$H$100="",X101=0)+AND($G$102="",$H$102="",X103=0)+AND($G$104="",$H$104="",X105=0)+AND($G$106="",$H$106="",X107=0)+AND($G$108="",$H$108="",X109=0)+AND($G$110="",$H$110="",X111=0)+AND($G$112="",$H$112="",X113=0)+AND($G$114="",$H$114="",X115=0)+AND($G$116="",$H$116="",X117=0)+AND($G$118="",$H$118="",X119=0)+AND($G$120="",$H$120="",X121=0)+AND($G$122="",$H$122="",X123=0)+AND($G$124="",$H$124="",X125=0)+AND($G$126="",$H$126="",X127=0)+AND($G$128="",$H$128="",X129=0)+AND($G$130="",$H$130="",X131=0)+AND($G$132="",$H$132="",X133=0)+AND($G$134="",$H$134="",X135=0)+AND($G$136="",$H$136="",X137=0)+AND($G$138="",$H$138="",X139=0)+AND($G$140="",$H$140="",X141=0)+AND($G$142="",$H$142="",X143=0)+AND($G$144="",$H$144="",X145=0)+AND($G$146="",$H$146="",X147=0)+AND($G$148="",$H$148="",X149=0)+AND($G$150="",$H$150="",X151=0))</f>
        <v>0</v>
      </c>
      <c r="Y7" s="77">
        <f>SUM(AND($G$80="",$H$80="",Y81=0)+AND($G$82="",$H$82="",Y83=0)+AND($G$84="",$H$84="",Y85=0)+AND($G$86="",$H$86="",Y87=0)+AND($G$88="",$H$88="",Y89=0)+AND($G$90="",$H$90="",Y91=0)+AND($G$92="",$H$92="",Y93=0)+AND($G$94="",$H$94="",Y95=0)+AND($G$96="",$H$96="",Y97=0)+AND($G$98="",$H$98="",Y99=0)+AND($G$100="",$H$100="",Y101=0)+AND($G$102="",$H$102="",Y103=0)+AND($G$104="",$H$104="",Y105=0)+AND($G$106="",$H$106="",Y107=0)+AND($G$108="",$H$108="",Y109=0)+AND($G$110="",$H$110="",Y111=0)+AND($G$112="",$H$112="",Y113=0)+AND($G$114="",$H$114="",Y115=0)+AND($G$116="",$H$116="",Y117=0)+AND($G$118="",$H$118="",Y119=0)+AND($G$120="",$H$120="",Y121=0)+AND($G$122="",$H$122="",Y123=0)+AND($G$124="",$H$124="",Y125=0)+AND($G$126="",$H$126="",Y127=0)+AND($G$128="",$H$128="",Y129=0)+AND($G$130="",$H$130="",Y131=0)+AND($G$132="",$H$132="",Y133=0)+AND($G$134="",$H$134="",Y135=0)+AND($G$136="",$H$136="",Y137=0)+AND($G$138="",$H$138="",Y139=0)+AND($G$140="",$H$140="",Y141=0)+AND($G$142="",$H$142="",Y143=0)+AND($G$144="",$H$144="",Y145=0)+AND($G$146="",$H$146="",Y147=0)+AND($G$148="",$H$148="",Y149=0)+AND($G$150="",$H$150="",Y151=0))</f>
        <v>0</v>
      </c>
      <c r="Z7" s="77">
        <f>SUM(AND($G$80="",$H$80="",Z81=0)+AND($G$82="",$H$82="",Z83=0)+AND($G$84="",$H$84="",Z85=0)+AND($G$86="",$H$86="",Z87=0)+AND($G$88="",$H$88="",Z89=0)+AND($G$90="",$H$90="",Z91=0)+AND($G$92="",$H$92="",Z93=0)+AND($G$94="",$H$94="",Z95=0)+AND($G$96="",$H$96="",Z97=0)+AND($G$98="",$H$98="",Z99=0)+AND($G$100="",$H$100="",Z101=0)+AND($G$102="",$H$102="",Z103=0)+AND($G$104="",$H$104="",Z105=0)+AND($G$106="",$H$106="",Z107=0)+AND($G$108="",$H$108="",Z109=0)+AND($G$110="",$H$110="",Z111=0)+AND($G$112="",$H$112="",Z113=0)+AND($G$114="",$H$114="",Z115=0)+AND($G$116="",$H$116="",Z117=0)+AND($G$118="",$H$118="",Z119=0)+AND($G$120="",$H$120="",Z121=0)+AND($G$122="",$H$122="",Z123=0)+AND($G$124="",$H$124="",Z125=0)+AND($G$126="",$H$126="",Z127=0)+AND($G$128="",$H$128="",Z129=0)+AND($G$130="",$H$130="",Z131=0)+AND($G$132="",$H$132="",Z133=0)+AND($G$134="",$H$134="",Z135=0)+AND($G$136="",$H$136="",Z137=0)+AND($G$138="",$H$138="",Z139=0)+AND($G$140="",$H$140="",Z141=0)+AND($G$142="",$H$142="",Z143=0)+AND($G$144="",$H$144="",Z145=0)+AND($G$146="",$H$146="",Z147=0)+AND($G$148="",$H$148="",Z149=0)+AND($G$150="",$H$150="",Z151=0))</f>
        <v>1</v>
      </c>
      <c r="AA7" s="77">
        <f>SUM(AND($G$80="",$H$80="",AA81=0)+AND($G$82="",$H$82="",AA83=0)+AND($G$84="",$H$84="",AA85=0)+AND($G$86="",$H$86="",AA87=0)+AND($G$88="",$H$88="",AA89=0)+AND($G$90="",$H$90="",AA91=0)+AND($G$92="",$H$92="",AA93=0)+AND($G$94="",$H$94="",AA95=0)+AND($G$96="",$H$96="",AA97=0)+AND($G$98="",$H$98="",AA99=0)+AND($G$100="",$H$100="",AA101=0)+AND($G$102="",$H$102="",AA103=0)+AND($G$104="",$H$104="",AA105=0)+AND($G$106="",$H$106="",AA107=0)+AND($G$108="",$H$108="",AA109=0)+AND($G$110="",$H$110="",AA111=0)+AND($G$112="",$H$112="",AA113=0)+AND($G$114="",$H$114="",AA115=0)+AND($G$116="",$H$116="",AA117=0)+AND($G$118="",$H$118="",AA119=0)+AND($G$120="",$H$120="",AA121=0)+AND($G$122="",$H$122="",AA123=0)+AND($G$124="",$H$124="",AA125=0)+AND($G$126="",$H$126="",AA127=0)+AND($G$128="",$H$128="",AA129=0)+AND($G$130="",$H$130="",AA131=0)+AND($G$132="",$H$132="",AA133=0)+AND($G$134="",$H$134="",AA135=0)+AND($G$136="",$H$136="",AA137=0)+AND($G$138="",$H$138="",AA139=0)+AND($G$140="",$H$140="",AA141=0)+AND($G$142="",$H$142="",AA143=0)+AND($G$144="",$H$144="",AA145=0)+AND($G$146="",$H$146="",AA147=0)+AND($G$148="",$H$148="",AA149=0)+AND($G$150="",$H$150="",AA151=0))</f>
        <v>0</v>
      </c>
      <c r="AB7" s="77">
        <f>SUM(AND($G$80="",$H$80="",AB81=0)+AND($G$82="",$H$82="",AB83=0)+AND($G$84="",$H$84="",AB85=0)+AND($G$86="",$H$86="",AB87=0)+AND($G$88="",$H$88="",AB89=0)+AND($G$90="",$H$90="",AB91=0)+AND($G$92="",$H$92="",AB93=0)+AND($G$94="",$H$94="",AB95=0)+AND($G$96="",$H$96="",AB97=0)+AND($G$98="",$H$98="",AB99=0)+AND($G$100="",$H$100="",AB101=0)+AND($G$102="",$H$102="",AB103=0)+AND($G$104="",$H$104="",AB105=0)+AND($G$106="",$H$106="",AB107=0)+AND($G$108="",$H$108="",AB109=0)+AND($G$110="",$H$110="",AB111=0)+AND($G$112="",$H$112="",AB113=0)+AND($G$114="",$H$114="",AB115=0)+AND($G$116="",$H$116="",AB117=0)+AND($G$118="",$H$118="",AB119=0)+AND($G$120="",$H$120="",AB121=0)+AND($G$122="",$H$122="",AB123=0)+AND($G$124="",$H$124="",AB125=0)+AND($G$126="",$H$126="",AB127=0)+AND($G$128="",$H$128="",AB129=0)+AND($G$130="",$H$130="",AB131=0)+AND($G$132="",$H$132="",AB133=0)+AND($G$134="",$H$134="",AB135=0)+AND($G$136="",$H$136="",AB137=0)+AND($G$138="",$H$138="",AB139=0)+AND($G$140="",$H$140="",AB141=0)+AND($G$142="",$H$142="",AB143=0)+AND($G$144="",$H$144="",AB145=0)+AND($G$146="",$H$146="",AB147=0)+AND($G$148="",$H$148="",AB149=0)+AND($G$150="",$H$150="",AB151=0))</f>
        <v>2</v>
      </c>
      <c r="AC7" s="77">
        <f>SUM(AND($G$80="",$H$80="",AC81=0)+AND($G$82="",$H$82="",AC83=0)+AND($G$84="",$H$84="",AC85=0)+AND($G$86="",$H$86="",AC87=0)+AND($G$88="",$H$88="",AC89=0)+AND($G$90="",$H$90="",AC91=0)+AND($G$92="",$H$92="",AC93=0)+AND($G$94="",$H$94="",AC95=0)+AND($G$96="",$H$96="",AC97=0)+AND($G$98="",$H$98="",AC99=0)+AND($G$100="",$H$100="",AC101=0)+AND($G$102="",$H$102="",AC103=0)+AND($G$104="",$H$104="",AC105=0)+AND($G$106="",$H$106="",AC107=0)+AND($G$108="",$H$108="",AC109=0)+AND($G$110="",$H$110="",AC111=0)+AND($G$112="",$H$112="",AC113=0)+AND($G$114="",$H$114="",AC115=0)+AND($G$116="",$H$116="",AC117=0)+AND($G$118="",$H$118="",AC119=0)+AND($G$120="",$H$120="",AC121=0)+AND($G$122="",$H$122="",AC123=0)+AND($G$124="",$H$124="",AC125=0)+AND($G$126="",$H$126="",AC127=0)+AND($G$128="",$H$128="",AC129=0)+AND($G$130="",$H$130="",AC131=0)+AND($G$132="",$H$132="",AC133=0)+AND($G$134="",$H$134="",AC135=0)+AND($G$136="",$H$136="",AC137=0)+AND($G$138="",$H$138="",AC139=0)+AND($G$140="",$H$140="",AC141=0)+AND($G$142="",$H$142="",AC143=0)+AND($G$144="",$H$144="",AC145=0)+AND($G$146="",$H$146="",AC147=0)+AND($G$148="",$H$148="",AC149=0)+AND($G$150="",$H$150="",AC151=0))</f>
        <v>1</v>
      </c>
      <c r="AD7" s="77">
        <f>SUM(AND($G$80="",$H$80="",AD81=0)+AND($G$82="",$H$82="",AD83=0)+AND($G$84="",$H$84="",AD85=0)+AND($G$86="",$H$86="",AD87=0)+AND($G$88="",$H$88="",AD89=0)+AND($G$90="",$H$90="",AD91=0)+AND($G$92="",$H$92="",AD93=0)+AND($G$94="",$H$94="",AD95=0)+AND($G$96="",$H$96="",AD97=0)+AND($G$98="",$H$98="",AD99=0)+AND($G$100="",$H$100="",AD101=0)+AND($G$102="",$H$102="",AD103=0)+AND($G$104="",$H$104="",AD105=0)+AND($G$106="",$H$106="",AD107=0)+AND($G$108="",$H$108="",AD109=0)+AND($G$110="",$H$110="",AD111=0)+AND($G$112="",$H$112="",AD113=0)+AND($G$114="",$H$114="",AD115=0)+AND($G$116="",$H$116="",AD117=0)+AND($G$118="",$H$118="",AD119=0)+AND($G$120="",$H$120="",AD121=0)+AND($G$122="",$H$122="",AD123=0)+AND($G$124="",$H$124="",AD125=0)+AND($G$126="",$H$126="",AD127=0)+AND($G$128="",$H$128="",AD129=0)+AND($G$130="",$H$130="",AD131=0)+AND($G$132="",$H$132="",AD133=0)+AND($G$134="",$H$134="",AD135=0)+AND($G$136="",$H$136="",AD137=0)+AND($G$138="",$H$138="",AD139=0)+AND($G$140="",$H$140="",AD141=0)+AND($G$142="",$H$142="",AD143=0)+AND($G$144="",$H$144="",AD145=0)+AND($G$146="",$H$146="",AD147=0)+AND($G$148="",$H$148="",AD149=0)+AND($G$150="",$H$150="",AD151=0))</f>
        <v>0</v>
      </c>
      <c r="AE7" s="77">
        <f>SUM(AND($G$80="",$H$80="",AE81=0)+AND($G$82="",$H$82="",AE83=0)+AND($G$84="",$H$84="",AE85=0)+AND($G$86="",$H$86="",AE87=0)+AND($G$88="",$H$88="",AE89=0)+AND($G$90="",$H$90="",AE91=0)+AND($G$92="",$H$92="",AE93=0)+AND($G$94="",$H$94="",AE95=0)+AND($G$96="",$H$96="",AE97=0)+AND($G$98="",$H$98="",AE99=0)+AND($G$100="",$H$100="",AE101=0)+AND($G$102="",$H$102="",AE103=0)+AND($G$104="",$H$104="",AE105=0)+AND($G$106="",$H$106="",AE107=0)+AND($G$108="",$H$108="",AE109=0)+AND($G$110="",$H$110="",AE111=0)+AND($G$112="",$H$112="",AE113=0)+AND($G$114="",$H$114="",AE115=0)+AND($G$116="",$H$116="",AE117=0)+AND($G$118="",$H$118="",AE119=0)+AND($G$120="",$H$120="",AE121=0)+AND($G$122="",$H$122="",AE123=0)+AND($G$124="",$H$124="",AE125=0)+AND($G$126="",$H$126="",AE127=0)+AND($G$128="",$H$128="",AE129=0)+AND($G$130="",$H$130="",AE131=0)+AND($G$132="",$H$132="",AE133=0)+AND($G$134="",$H$134="",AE135=0)+AND($G$136="",$H$136="",AE137=0)+AND($G$138="",$H$138="",AE139=0)+AND($G$140="",$H$140="",AE141=0)+AND($G$142="",$H$142="",AE143=0)+AND($G$144="",$H$144="",AE145=0)+AND($G$146="",$H$146="",AE147=0)+AND($G$148="",$H$148="",AE149=0)+AND($G$150="",$H$150="",AE151=0))</f>
        <v>2</v>
      </c>
      <c r="AF7" s="77">
        <f>SUM(AND($G$80="",$H$80="",AF81=0)+AND($G$82="",$H$82="",AF83=0)+AND($G$84="",$H$84="",AF85=0)+AND($G$86="",$H$86="",AF87=0)+AND($G$88="",$H$88="",AF89=0)+AND($G$90="",$H$90="",AF91=0)+AND($G$92="",$H$92="",AF93=0)+AND($G$94="",$H$94="",AF95=0)+AND($G$96="",$H$96="",AF97=0)+AND($G$98="",$H$98="",AF99=0)+AND($G$100="",$H$100="",AF101=0)+AND($G$102="",$H$102="",AF103=0)+AND($G$104="",$H$104="",AF105=0)+AND($G$106="",$H$106="",AF107=0)+AND($G$108="",$H$108="",AF109=0)+AND($G$110="",$H$110="",AF111=0)+AND($G$112="",$H$112="",AF113=0)+AND($G$114="",$H$114="",AF115=0)+AND($G$116="",$H$116="",AF117=0)+AND($G$118="",$H$118="",AF119=0)+AND($G$120="",$H$120="",AF121=0)+AND($G$122="",$H$122="",AF123=0)+AND($G$124="",$H$124="",AF125=0)+AND($G$126="",$H$126="",AF127=0)+AND($G$128="",$H$128="",AF129=0)+AND($G$130="",$H$130="",AF131=0)+AND($G$132="",$H$132="",AF133=0)+AND($G$134="",$H$134="",AF135=0)+AND($G$136="",$H$136="",AF137=0)+AND($G$138="",$H$138="",AF139=0)+AND($G$140="",$H$140="",AF141=0)+AND($G$142="",$H$142="",AF143=0)+AND($G$144="",$H$144="",AF145=0)+AND($G$146="",$H$146="",AF147=0)+AND($G$148="",$H$148="",AF149=0)+AND($G$150="",$H$150="",AF151=0))</f>
        <v>0</v>
      </c>
      <c r="AG7" s="77">
        <f>SUM(AND($G$80="",$H$80="",AG81=0)+AND($G$82="",$H$82="",AG83=0)+AND($G$84="",$H$84="",AG85=0)+AND($G$86="",$H$86="",AG87=0)+AND($G$88="",$H$88="",AG89=0)+AND($G$90="",$H$90="",AG91=0)+AND($G$92="",$H$92="",AG93=0)+AND($G$94="",$H$94="",AG95=0)+AND($G$96="",$H$96="",AG97=0)+AND($G$98="",$H$98="",AG99=0)+AND($G$100="",$H$100="",AG101=0)+AND($G$102="",$H$102="",AG103=0)+AND($G$104="",$H$104="",AG105=0)+AND($G$106="",$H$106="",AG107=0)+AND($G$108="",$H$108="",AG109=0)+AND($G$110="",$H$110="",AG111=0)+AND($G$112="",$H$112="",AG113=0)+AND($G$114="",$H$114="",AG115=0)+AND($G$116="",$H$116="",AG117=0)+AND($G$118="",$H$118="",AG119=0)+AND($G$120="",$H$120="",AG121=0)+AND($G$122="",$H$122="",AG123=0)+AND($G$124="",$H$124="",AG125=0)+AND($G$126="",$H$126="",AG127=0)+AND($G$128="",$H$128="",AG129=0)+AND($G$130="",$H$130="",AG131=0)+AND($G$132="",$H$132="",AG133=0)+AND($G$134="",$H$134="",AG135=0)+AND($G$136="",$H$136="",AG137=0)+AND($G$138="",$H$138="",AG139=0)+AND($G$140="",$H$140="",AG141=0)+AND($G$142="",$H$142="",AG143=0)+AND($G$144="",$H$144="",AG145=0)+AND($G$146="",$H$146="",AG147=0)+AND($G$148="",$H$148="",AG149=0)+AND($G$150="",$H$150="",AG151=0))</f>
        <v>2</v>
      </c>
      <c r="AH7" s="77">
        <f>SUM(AND($G$80="",$H$80="",AH81=0)+AND($G$82="",$H$82="",AH83=0)+AND($G$84="",$H$84="",AH85=0)+AND($G$86="",$H$86="",AH87=0)+AND($G$88="",$H$88="",AH89=0)+AND($G$90="",$H$90="",AH91=0)+AND($G$92="",$H$92="",AH93=0)+AND($G$94="",$H$94="",AH95=0)+AND($G$96="",$H$96="",AH97=0)+AND($G$98="",$H$98="",AH99=0)+AND($G$100="",$H$100="",AH101=0)+AND($G$102="",$H$102="",AH103=0)+AND($G$104="",$H$104="",AH105=0)+AND($G$106="",$H$106="",AH107=0)+AND($G$108="",$H$108="",AH109=0)+AND($G$110="",$H$110="",AH111=0)+AND($G$112="",$H$112="",AH113=0)+AND($G$114="",$H$114="",AH115=0)+AND($G$116="",$H$116="",AH117=0)+AND($G$118="",$H$118="",AH119=0)+AND($G$120="",$H$120="",AH121=0)+AND($G$122="",$H$122="",AH123=0)+AND($G$124="",$H$124="",AH125=0)+AND($G$126="",$H$126="",AH127=0)+AND($G$128="",$H$128="",AH129=0)+AND($G$130="",$H$130="",AH131=0)+AND($G$132="",$H$132="",AH133=0)+AND($G$134="",$H$134="",AH135=0)+AND($G$136="",$H$136="",AH137=0)+AND($G$138="",$H$138="",AH139=0)+AND($G$140="",$H$140="",AH141=0)+AND($G$142="",$H$142="",AH143=0)+AND($G$144="",$H$144="",AH145=0)+AND($G$146="",$H$146="",AH147=0)+AND($G$148="",$H$148="",AH149=0)+AND($G$150="",$H$150="",AH151=0))</f>
        <v>0</v>
      </c>
      <c r="AI7" s="77">
        <f>SUM(AND($G$80="",$H$80="",AI81=0)+AND($G$82="",$H$82="",AI83=0)+AND($G$84="",$H$84="",AI85=0)+AND($G$86="",$H$86="",AI87=0)+AND($G$88="",$H$88="",AI89=0)+AND($G$90="",$H$90="",AI91=0)+AND($G$92="",$H$92="",AI93=0)+AND($G$94="",$H$94="",AI95=0)+AND($G$96="",$H$96="",AI97=0)+AND($G$98="",$H$98="",AI99=0)+AND($G$100="",$H$100="",AI101=0)+AND($G$102="",$H$102="",AI103=0)+AND($G$104="",$H$104="",AI105=0)+AND($G$106="",$H$106="",AI107=0)+AND($G$108="",$H$108="",AI109=0)+AND($G$110="",$H$110="",AI111=0)+AND($G$112="",$H$112="",AI113=0)+AND($G$114="",$H$114="",AI115=0)+AND($G$116="",$H$116="",AI117=0)+AND($G$118="",$H$118="",AI119=0)+AND($G$120="",$H$120="",AI121=0)+AND($G$122="",$H$122="",AI123=0)+AND($G$124="",$H$124="",AI125=0)+AND($G$126="",$H$126="",AI127=0)+AND($G$128="",$H$128="",AI129=0)+AND($G$130="",$H$130="",AI131=0)+AND($G$132="",$H$132="",AI133=0)+AND($G$134="",$H$134="",AI135=0)+AND($G$136="",$H$136="",AI137=0)+AND($G$138="",$H$138="",AI139=0)+AND($G$140="",$H$140="",AI141=0)+AND($G$142="",$H$142="",AI143=0)+AND($G$144="",$H$144="",AI145=0)+AND($G$146="",$H$146="",AI147=0)+AND($G$148="",$H$148="",AI149=0)+AND($G$150="",$H$150="",AI151=0))</f>
        <v>0</v>
      </c>
      <c r="AJ7" s="77">
        <f>SUM(AND($G$80="",$H$80="",AJ81=0)+AND($G$82="",$H$82="",AJ83=0)+AND($G$84="",$H$84="",AJ85=0)+AND($G$86="",$H$86="",AJ87=0)+AND($G$88="",$H$88="",AJ89=0)+AND($G$90="",$H$90="",AJ91=0)+AND($G$92="",$H$92="",AJ93=0)+AND($G$94="",$H$94="",AJ95=0)+AND($G$96="",$H$96="",AJ97=0)+AND($G$98="",$H$98="",AJ99=0)+AND($G$100="",$H$100="",AJ101=0)+AND($G$102="",$H$102="",AJ103=0)+AND($G$104="",$H$104="",AJ105=0)+AND($G$106="",$H$106="",AJ107=0)+AND($G$108="",$H$108="",AJ109=0)+AND($G$110="",$H$110="",AJ111=0)+AND($G$112="",$H$112="",AJ113=0)+AND($G$114="",$H$114="",AJ115=0)+AND($G$116="",$H$116="",AJ117=0)+AND($G$118="",$H$118="",AJ119=0)+AND($G$120="",$H$120="",AJ121=0)+AND($G$122="",$H$122="",AJ123=0)+AND($G$124="",$H$124="",AJ125=0)+AND($G$126="",$H$126="",AJ127=0)+AND($G$128="",$H$128="",AJ129=0)+AND($G$130="",$H$130="",AJ131=0)+AND($G$132="",$H$132="",AJ133=0)+AND($G$134="",$H$134="",AJ135=0)+AND($G$136="",$H$136="",AJ137=0)+AND($G$138="",$H$138="",AJ139=0)+AND($G$140="",$H$140="",AJ141=0)+AND($G$142="",$H$142="",AJ143=0)+AND($G$144="",$H$144="",AJ145=0)+AND($G$146="",$H$146="",AJ147=0)+AND($G$148="",$H$148="",AJ149=0)+AND($G$150="",$H$150="",AJ151=0))</f>
        <v>0</v>
      </c>
      <c r="AK7" s="77">
        <f>SUM(AND($G$80="",$H$80="",AK81=0)+AND($G$82="",$H$82="",AK83=0)+AND($G$84="",$H$84="",AK85=0)+AND($G$86="",$H$86="",AK87=0)+AND($G$88="",$H$88="",AK89=0)+AND($G$90="",$H$90="",AK91=0)+AND($G$92="",$H$92="",AK93=0)+AND($G$94="",$H$94="",AK95=0)+AND($G$96="",$H$96="",AK97=0)+AND($G$98="",$H$98="",AK99=0)+AND($G$100="",$H$100="",AK101=0)+AND($G$102="",$H$102="",AK103=0)+AND($G$104="",$H$104="",AK105=0)+AND($G$106="",$H$106="",AK107=0)+AND($G$108="",$H$108="",AK109=0)+AND($G$110="",$H$110="",AK111=0)+AND($G$112="",$H$112="",AK113=0)+AND($G$114="",$H$114="",AK115=0)+AND($G$116="",$H$116="",AK117=0)+AND($G$118="",$H$118="",AK119=0)+AND($G$120="",$H$120="",AK121=0)+AND($G$122="",$H$122="",AK123=0)+AND($G$124="",$H$124="",AK125=0)+AND($G$126="",$H$126="",AK127=0)+AND($G$128="",$H$128="",AK129=0)+AND($G$130="",$H$130="",AK131=0)+AND($G$132="",$H$132="",AK133=0)+AND($G$134="",$H$134="",AK135=0)+AND($G$136="",$H$136="",AK137=0)+AND($G$138="",$H$138="",AK139=0)+AND($G$140="",$H$140="",AK141=0)+AND($G$142="",$H$142="",AK143=0)+AND($G$144="",$H$144="",AK145=0)+AND($G$146="",$H$146="",AK147=0)+AND($G$148="",$H$148="",AK149=0)+AND($G$150="",$H$150="",AK151=0))</f>
        <v>0</v>
      </c>
      <c r="AL7" s="77">
        <f>SUM(AND($G$80="",$H$80="",AL81=0)+AND($G$82="",$H$82="",AL83=0)+AND($G$84="",$H$84="",AL85=0)+AND($G$86="",$H$86="",AL87=0)+AND($G$88="",$H$88="",AL89=0)+AND($G$90="",$H$90="",AL91=0)+AND($G$92="",$H$92="",AL93=0)+AND($G$94="",$H$94="",AL95=0)+AND($G$96="",$H$96="",AL97=0)+AND($G$98="",$H$98="",AL99=0)+AND($G$100="",$H$100="",AL101=0)+AND($G$102="",$H$102="",AL103=0)+AND($G$104="",$H$104="",AL105=0)+AND($G$106="",$H$106="",AL107=0)+AND($G$108="",$H$108="",AL109=0)+AND($G$110="",$H$110="",AL111=0)+AND($G$112="",$H$112="",AL113=0)+AND($G$114="",$H$114="",AL115=0)+AND($G$116="",$H$116="",AL117=0)+AND($G$118="",$H$118="",AL119=0)+AND($G$120="",$H$120="",AL121=0)+AND($G$122="",$H$122="",AL123=0)+AND($G$124="",$H$124="",AL125=0)+AND($G$126="",$H$126="",AL127=0)+AND($G$128="",$H$128="",AL129=0)+AND($G$130="",$H$130="",AL131=0)+AND($G$132="",$H$132="",AL133=0)+AND($G$134="",$H$134="",AL135=0)+AND($G$136="",$H$136="",AL137=0)+AND($G$138="",$H$138="",AL139=0)+AND($G$140="",$H$140="",AL141=0)+AND($G$142="",$H$142="",AL143=0)+AND($G$144="",$H$144="",AL145=0)+AND($G$146="",$H$146="",AL147=0)+AND($G$148="",$H$148="",AL149=0)+AND($G$150="",$H$150="",AL151=0))</f>
        <v>1</v>
      </c>
      <c r="AM7" s="77">
        <f>SUM(AND($G$80="",$H$80="",AM81=0)+AND($G$82="",$H$82="",AM83=0)+AND($G$84="",$H$84="",AM85=0)+AND($G$86="",$H$86="",AM87=0)+AND($G$88="",$H$88="",AM89=0)+AND($G$90="",$H$90="",AM91=0)+AND($G$92="",$H$92="",AM93=0)+AND($G$94="",$H$94="",AM95=0)+AND($G$96="",$H$96="",AM97=0)+AND($G$98="",$H$98="",AM99=0)+AND($G$100="",$H$100="",AM101=0)+AND($G$102="",$H$102="",AM103=0)+AND($G$104="",$H$104="",AM105=0)+AND($G$106="",$H$106="",AM107=0)+AND($G$108="",$H$108="",AM109=0)+AND($G$110="",$H$110="",AM111=0)+AND($G$112="",$H$112="",AM113=0)+AND($G$114="",$H$114="",AM115=0)+AND($G$116="",$H$116="",AM117=0)+AND($G$118="",$H$118="",AM119=0)+AND($G$120="",$H$120="",AM121=0)+AND($G$122="",$H$122="",AM123=0)+AND($G$124="",$H$124="",AM125=0)+AND($G$126="",$H$126="",AM127=0)+AND($G$128="",$H$128="",AM129=0)+AND($G$130="",$H$130="",AM131=0)+AND($G$132="",$H$132="",AM133=0)+AND($G$134="",$H$134="",AM135=0)+AND($G$136="",$H$136="",AM137=0)+AND($G$138="",$H$138="",AM139=0)+AND($G$140="",$H$140="",AM141=0)+AND($G$142="",$H$142="",AM143=0)+AND($G$144="",$H$144="",AM145=0)+AND($G$146="",$H$146="",AM147=0)+AND($G$148="",$H$148="",AM149=0)+AND($G$150="",$H$150="",AM151=0))</f>
        <v>0</v>
      </c>
      <c r="AN7" s="77">
        <f>SUM(AND($G$80="",$H$80="",AN81=0)+AND($G$82="",$H$82="",AN83=0)+AND($G$84="",$H$84="",AN85=0)+AND($G$86="",$H$86="",AN87=0)+AND($G$88="",$H$88="",AN89=0)+AND($G$90="",$H$90="",AN91=0)+AND($G$92="",$H$92="",AN93=0)+AND($G$94="",$H$94="",AN95=0)+AND($G$96="",$H$96="",AN97=0)+AND($G$98="",$H$98="",AN99=0)+AND($G$100="",$H$100="",AN101=0)+AND($G$102="",$H$102="",AN103=0)+AND($G$104="",$H$104="",AN105=0)+AND($G$106="",$H$106="",AN107=0)+AND($G$108="",$H$108="",AN109=0)+AND($G$110="",$H$110="",AN111=0)+AND($G$112="",$H$112="",AN113=0)+AND($G$114="",$H$114="",AN115=0)+AND($G$116="",$H$116="",AN117=0)+AND($G$118="",$H$118="",AN119=0)+AND($G$120="",$H$120="",AN121=0)+AND($G$122="",$H$122="",AN123=0)+AND($G$124="",$H$124="",AN125=0)+AND($G$126="",$H$126="",AN127=0)+AND($G$128="",$H$128="",AN129=0)+AND($G$130="",$H$130="",AN131=0)+AND($G$132="",$H$132="",AN133=0)+AND($G$134="",$H$134="",AN135=0)+AND($G$136="",$H$136="",AN137=0)+AND($G$138="",$H$138="",AN139=0)+AND($G$140="",$H$140="",AN141=0)+AND($G$142="",$H$142="",AN143=0)+AND($G$144="",$H$144="",AN145=0)+AND($G$146="",$H$146="",AN147=0)+AND($G$148="",$H$148="",AN149=0)+AND($G$150="",$H$150="",AN151=0))</f>
        <v>2</v>
      </c>
      <c r="AO7" s="77">
        <f>SUM(AND($G$80="",$H$80="",AO81=0)+AND($G$82="",$H$82="",AO83=0)+AND($G$84="",$H$84="",AO85=0)+AND($G$86="",$H$86="",AO87=0)+AND($G$88="",$H$88="",AO89=0)+AND($G$90="",$H$90="",AO91=0)+AND($G$92="",$H$92="",AO93=0)+AND($G$94="",$H$94="",AO95=0)+AND($G$96="",$H$96="",AO97=0)+AND($G$98="",$H$98="",AO99=0)+AND($G$100="",$H$100="",AO101=0)+AND($G$102="",$H$102="",AO103=0)+AND($G$104="",$H$104="",AO105=0)+AND($G$106="",$H$106="",AO107=0)+AND($G$108="",$H$108="",AO109=0)+AND($G$110="",$H$110="",AO111=0)+AND($G$112="",$H$112="",AO113=0)+AND($G$114="",$H$114="",AO115=0)+AND($G$116="",$H$116="",AO117=0)+AND($G$118="",$H$118="",AO119=0)+AND($G$120="",$H$120="",AO121=0)+AND($G$122="",$H$122="",AO123=0)+AND($G$124="",$H$124="",AO125=0)+AND($G$126="",$H$126="",AO127=0)+AND($G$128="",$H$128="",AO129=0)+AND($G$130="",$H$130="",AO131=0)+AND($G$132="",$H$132="",AO133=0)+AND($G$134="",$H$134="",AO135=0)+AND($G$136="",$H$136="",AO137=0)+AND($G$138="",$H$138="",AO139=0)+AND($G$140="",$H$140="",AO141=0)+AND($G$142="",$H$142="",AO143=0)+AND($G$144="",$H$144="",AO145=0)+AND($G$146="",$H$146="",AO147=0)+AND($G$148="",$H$148="",AO149=0)+AND($G$150="",$H$150="",AO151=0))</f>
        <v>0</v>
      </c>
      <c r="AP7" s="77">
        <f>SUM(AND($G$80="",$H$80="",AP81=0)+AND($G$82="",$H$82="",AP83=0)+AND($G$84="",$H$84="",AP85=0)+AND($G$86="",$H$86="",AP87=0)+AND($G$88="",$H$88="",AP89=0)+AND($G$90="",$H$90="",AP91=0)+AND($G$92="",$H$92="",AP93=0)+AND($G$94="",$H$94="",AP95=0)+AND($G$96="",$H$96="",AP97=0)+AND($G$98="",$H$98="",AP99=0)+AND($G$100="",$H$100="",AP101=0)+AND($G$102="",$H$102="",AP103=0)+AND($G$104="",$H$104="",AP105=0)+AND($G$106="",$H$106="",AP107=0)+AND($G$108="",$H$108="",AP109=0)+AND($G$110="",$H$110="",AP111=0)+AND($G$112="",$H$112="",AP113=0)+AND($G$114="",$H$114="",AP115=0)+AND($G$116="",$H$116="",AP117=0)+AND($G$118="",$H$118="",AP119=0)+AND($G$120="",$H$120="",AP121=0)+AND($G$122="",$H$122="",AP123=0)+AND($G$124="",$H$124="",AP125=0)+AND($G$126="",$H$126="",AP127=0)+AND($G$128="",$H$128="",AP129=0)+AND($G$130="",$H$130="",AP131=0)+AND($G$132="",$H$132="",AP133=0)+AND($G$134="",$H$134="",AP135=0)+AND($G$136="",$H$136="",AP137=0)+AND($G$138="",$H$138="",AP139=0)+AND($G$140="",$H$140="",AP141=0)+AND($G$142="",$H$142="",AP143=0)+AND($G$144="",$H$144="",AP145=0)+AND($G$146="",$H$146="",AP147=0)+AND($G$148="",$H$148="",AP149=0)+AND($G$150="",$H$150="",AP151=0))</f>
        <v>0</v>
      </c>
      <c r="AQ7" s="77">
        <f>SUM(AND($G$80="",$H$80="",AQ81=0)+AND($G$82="",$H$82="",AQ83=0)+AND($G$84="",$H$84="",AQ85=0)+AND($G$86="",$H$86="",AQ87=0)+AND($G$88="",$H$88="",AQ89=0)+AND($G$90="",$H$90="",AQ91=0)+AND($G$92="",$H$92="",AQ93=0)+AND($G$94="",$H$94="",AQ95=0)+AND($G$96="",$H$96="",AQ97=0)+AND($G$98="",$H$98="",AQ99=0)+AND($G$100="",$H$100="",AQ101=0)+AND($G$102="",$H$102="",AQ103=0)+AND($G$104="",$H$104="",AQ105=0)+AND($G$106="",$H$106="",AQ107=0)+AND($G$108="",$H$108="",AQ109=0)+AND($G$110="",$H$110="",AQ111=0)+AND($G$112="",$H$112="",AQ113=0)+AND($G$114="",$H$114="",AQ115=0)+AND($G$116="",$H$116="",AQ117=0)+AND($G$118="",$H$118="",AQ119=0)+AND($G$120="",$H$120="",AQ121=0)+AND($G$122="",$H$122="",AQ123=0)+AND($G$124="",$H$124="",AQ125=0)+AND($G$126="",$H$126="",AQ127=0)+AND($G$128="",$H$128="",AQ129=0)+AND($G$130="",$H$130="",AQ131=0)+AND($G$132="",$H$132="",AQ133=0)+AND($G$134="",$H$134="",AQ135=0)+AND($G$136="",$H$136="",AQ137=0)+AND($G$138="",$H$138="",AQ139=0)+AND($G$140="",$H$140="",AQ141=0)+AND($G$142="",$H$142="",AQ143=0)+AND($G$144="",$H$144="",AQ145=0)+AND($G$146="",$H$146="",AQ147=0)+AND($G$148="",$H$148="",AQ149=0)+AND($G$150="",$H$150="",AQ151=0))</f>
        <v>1</v>
      </c>
      <c r="AR7" s="77">
        <f>SUM(AND($G$80="",$H$80="",AR81=0)+AND($G$82="",$H$82="",AR83=0)+AND($G$84="",$H$84="",AR85=0)+AND($G$86="",$H$86="",AR87=0)+AND($G$88="",$H$88="",AR89=0)+AND($G$90="",$H$90="",AR91=0)+AND($G$92="",$H$92="",AR93=0)+AND($G$94="",$H$94="",AR95=0)+AND($G$96="",$H$96="",AR97=0)+AND($G$98="",$H$98="",AR99=0)+AND($G$100="",$H$100="",AR101=0)+AND($G$102="",$H$102="",AR103=0)+AND($G$104="",$H$104="",AR105=0)+AND($G$106="",$H$106="",AR107=0)+AND($G$108="",$H$108="",AR109=0)+AND($G$110="",$H$110="",AR111=0)+AND($G$112="",$H$112="",AR113=0)+AND($G$114="",$H$114="",AR115=0)+AND($G$116="",$H$116="",AR117=0)+AND($G$118="",$H$118="",AR119=0)+AND($G$120="",$H$120="",AR121=0)+AND($G$122="",$H$122="",AR123=0)+AND($G$124="",$H$124="",AR125=0)+AND($G$126="",$H$126="",AR127=0)+AND($G$128="",$H$128="",AR129=0)+AND($G$130="",$H$130="",AR131=0)+AND($G$132="",$H$132="",AR133=0)+AND($G$134="",$H$134="",AR135=0)+AND($G$136="",$H$136="",AR137=0)+AND($G$138="",$H$138="",AR139=0)+AND($G$140="",$H$140="",AR141=0)+AND($G$142="",$H$142="",AR143=0)+AND($G$144="",$H$144="",AR145=0)+AND($G$146="",$H$146="",AR147=0)+AND($G$148="",$H$148="",AR149=0)+AND($G$150="",$H$150="",AR151=0))</f>
        <v>0</v>
      </c>
      <c r="AS7" s="77">
        <f>SUM(AND($G$80="",$H$80="",AS81=0)+AND($G$82="",$H$82="",AS83=0)+AND($G$84="",$H$84="",AS85=0)+AND($G$86="",$H$86="",AS87=0)+AND($G$88="",$H$88="",AS89=0)+AND($G$90="",$H$90="",AS91=0)+AND($G$92="",$H$92="",AS93=0)+AND($G$94="",$H$94="",AS95=0)+AND($G$96="",$H$96="",AS97=0)+AND($G$98="",$H$98="",AS99=0)+AND($G$100="",$H$100="",AS101=0)+AND($G$102="",$H$102="",AS103=0)+AND($G$104="",$H$104="",AS105=0)+AND($G$106="",$H$106="",AS107=0)+AND($G$108="",$H$108="",AS109=0)+AND($G$110="",$H$110="",AS111=0)+AND($G$112="",$H$112="",AS113=0)+AND($G$114="",$H$114="",AS115=0)+AND($G$116="",$H$116="",AS117=0)+AND($G$118="",$H$118="",AS119=0)+AND($G$120="",$H$120="",AS121=0)+AND($G$122="",$H$122="",AS123=0)+AND($G$124="",$H$124="",AS125=0)+AND($G$126="",$H$126="",AS127=0)+AND($G$128="",$H$128="",AS129=0)+AND($G$130="",$H$130="",AS131=0)+AND($G$132="",$H$132="",AS133=0)+AND($G$134="",$H$134="",AS135=0)+AND($G$136="",$H$136="",AS137=0)+AND($G$138="",$H$138="",AS139=0)+AND($G$140="",$H$140="",AS141=0)+AND($G$142="",$H$142="",AS143=0)+AND($G$144="",$H$144="",AS145=0)+AND($G$146="",$H$146="",AS147=0)+AND($G$148="",$H$148="",AS149=0)+AND($G$150="",$H$150="",AS151=0))</f>
        <v>0</v>
      </c>
      <c r="AT7" s="80">
        <f>SUM(AND($G$80="",$H$80="",AT81=0)+AND($G$82="",$H$82="",AT83=0)+AND($G$84="",$H$84="",AT85=0)+AND($G$86="",$H$86="",AT87=0)+AND($G$88="",$H$88="",AT89=0)+AND($G$90="",$H$90="",AT91=0)+AND($G$92="",$H$92="",AT93=0)+AND($G$94="",$H$94="",AT95=0)+AND($G$96="",$H$96="",AT97=0)+AND($G$98="",$H$98="",AT99=0)+AND($G$100="",$H$100="",AT101=0)+AND($G$102="",$H$102="",AT103=0)+AND($G$104="",$H$104="",AT105=0)+AND($G$106="",$H$106="",AT107=0)+AND($G$108="",$H$108="",AT109=0)+AND($G$110="",$H$110="",AT111=0)+AND($G$112="",$H$112="",AT113=0)+AND($G$114="",$H$114="",AT115=0)+AND($G$116="",$H$116="",AT117=0)+AND($G$118="",$H$118="",AT119=0)+AND($G$120="",$H$120="",AT121=0)+AND($G$122="",$H$122="",AT123=0)+AND($G$124="",$H$124="",AT125=0)+AND($G$126="",$H$126="",AT127=0)+AND($G$128="",$H$128="",AT129=0)+AND($G$130="",$H$130="",AT131=0)+AND($G$132="",$H$132="",AT133=0)+AND($G$134="",$H$134="",AT135=0)+AND($G$136="",$H$136="",AT137=0)+AND($G$138="",$H$138="",AT139=0)+AND($G$140="",$H$140="",AT141=0)+AND($G$142="",$H$142="",AT143=0)+AND($G$144="",$H$144="",AT145=0)+AND($G$146="",$H$146="",AT147=0)+AND($G$148="",$H$148="",AT149=0)+AND($G$150="",$H$150="",AT151=0))</f>
        <v>0</v>
      </c>
    </row>
    <row r="8" spans="1:54" ht="14.4" x14ac:dyDescent="0.3">
      <c r="A8" s="121" t="s">
        <v>1</v>
      </c>
      <c r="B8" s="118">
        <v>46184</v>
      </c>
      <c r="C8" s="115">
        <v>0.54166666666666663</v>
      </c>
      <c r="D8" s="109" t="s">
        <v>89</v>
      </c>
      <c r="E8" s="146" t="s">
        <v>32</v>
      </c>
      <c r="F8" s="146" t="s">
        <v>34</v>
      </c>
      <c r="G8" s="147">
        <v>2</v>
      </c>
      <c r="H8" s="147">
        <v>0</v>
      </c>
      <c r="I8" s="148" t="str">
        <f>IF(G8="","-",IF(G8&gt;H8,"L",IF(G8=H8,"E",IF(G8&lt;H8,"V"))))</f>
        <v>L</v>
      </c>
      <c r="J8" s="46" t="s">
        <v>7</v>
      </c>
      <c r="K8" s="17" t="s">
        <v>7</v>
      </c>
      <c r="L8" s="17" t="s">
        <v>7</v>
      </c>
      <c r="M8" s="17" t="s">
        <v>7</v>
      </c>
      <c r="N8" s="17" t="s">
        <v>7</v>
      </c>
      <c r="O8" s="17" t="s">
        <v>7</v>
      </c>
      <c r="P8" s="17" t="s">
        <v>7</v>
      </c>
      <c r="Q8" s="17" t="s">
        <v>7</v>
      </c>
      <c r="R8" s="17" t="s">
        <v>7</v>
      </c>
      <c r="S8" s="17" t="s">
        <v>7</v>
      </c>
      <c r="T8" s="17" t="s">
        <v>7</v>
      </c>
      <c r="U8" s="17" t="s">
        <v>7</v>
      </c>
      <c r="V8" s="17" t="s">
        <v>7</v>
      </c>
      <c r="W8" s="17" t="s">
        <v>7</v>
      </c>
      <c r="X8" s="17" t="s">
        <v>7</v>
      </c>
      <c r="Y8" s="17" t="s">
        <v>7</v>
      </c>
      <c r="Z8" s="17" t="s">
        <v>7</v>
      </c>
      <c r="AA8" s="17" t="s">
        <v>7</v>
      </c>
      <c r="AB8" s="17" t="s">
        <v>7</v>
      </c>
      <c r="AC8" s="17" t="s">
        <v>7</v>
      </c>
      <c r="AD8" s="17" t="s">
        <v>7</v>
      </c>
      <c r="AE8" s="17" t="s">
        <v>7</v>
      </c>
      <c r="AF8" s="17" t="s">
        <v>7</v>
      </c>
      <c r="AG8" s="17" t="s">
        <v>7</v>
      </c>
      <c r="AH8" s="86" t="s">
        <v>7</v>
      </c>
      <c r="AI8" s="17" t="s">
        <v>7</v>
      </c>
      <c r="AJ8" s="17" t="s">
        <v>7</v>
      </c>
      <c r="AK8" s="17" t="s">
        <v>7</v>
      </c>
      <c r="AL8" s="17" t="s">
        <v>7</v>
      </c>
      <c r="AM8" s="17" t="s">
        <v>7</v>
      </c>
      <c r="AN8" s="17" t="s">
        <v>7</v>
      </c>
      <c r="AO8" s="17" t="s">
        <v>7</v>
      </c>
      <c r="AP8" s="17" t="s">
        <v>7</v>
      </c>
      <c r="AQ8" s="17" t="s">
        <v>7</v>
      </c>
      <c r="AR8" s="17" t="s">
        <v>7</v>
      </c>
      <c r="AS8" s="17" t="s">
        <v>7</v>
      </c>
      <c r="AT8" s="22" t="s">
        <v>7</v>
      </c>
    </row>
    <row r="9" spans="1:54" ht="14.4" x14ac:dyDescent="0.3">
      <c r="A9" s="121"/>
      <c r="B9" s="106"/>
      <c r="C9" s="106"/>
      <c r="D9" s="98"/>
      <c r="E9" s="98"/>
      <c r="F9" s="98"/>
      <c r="G9" s="129"/>
      <c r="H9" s="129"/>
      <c r="I9" s="135"/>
      <c r="J9" s="23">
        <v>3</v>
      </c>
      <c r="K9" s="18">
        <v>3</v>
      </c>
      <c r="L9" s="18">
        <v>2</v>
      </c>
      <c r="M9" s="18">
        <v>3</v>
      </c>
      <c r="N9" s="18">
        <v>3</v>
      </c>
      <c r="O9" s="18">
        <v>3</v>
      </c>
      <c r="P9" s="18">
        <v>3</v>
      </c>
      <c r="Q9" s="18">
        <v>4</v>
      </c>
      <c r="R9" s="18">
        <v>2</v>
      </c>
      <c r="S9" s="18">
        <v>2</v>
      </c>
      <c r="T9" s="18">
        <v>3</v>
      </c>
      <c r="U9" s="18">
        <v>2</v>
      </c>
      <c r="V9" s="18">
        <v>2</v>
      </c>
      <c r="W9" s="18">
        <v>3</v>
      </c>
      <c r="X9" s="18">
        <v>2</v>
      </c>
      <c r="Y9" s="18">
        <v>2</v>
      </c>
      <c r="Z9" s="18">
        <v>3</v>
      </c>
      <c r="AA9" s="18">
        <v>3</v>
      </c>
      <c r="AB9" s="18">
        <v>4</v>
      </c>
      <c r="AC9" s="18">
        <v>2</v>
      </c>
      <c r="AD9" s="18">
        <v>3</v>
      </c>
      <c r="AE9" s="18">
        <v>3</v>
      </c>
      <c r="AF9" s="18">
        <v>3</v>
      </c>
      <c r="AG9" s="18">
        <v>2</v>
      </c>
      <c r="AH9" s="87">
        <v>2</v>
      </c>
      <c r="AI9" s="18">
        <v>2</v>
      </c>
      <c r="AJ9" s="18">
        <v>3</v>
      </c>
      <c r="AK9" s="18">
        <v>3</v>
      </c>
      <c r="AL9" s="18">
        <v>4</v>
      </c>
      <c r="AM9" s="18">
        <v>3</v>
      </c>
      <c r="AN9" s="18">
        <v>3</v>
      </c>
      <c r="AO9" s="18">
        <v>2</v>
      </c>
      <c r="AP9" s="18">
        <v>3</v>
      </c>
      <c r="AQ9" s="18">
        <v>3</v>
      </c>
      <c r="AR9" s="18">
        <v>3</v>
      </c>
      <c r="AS9" s="18">
        <v>3</v>
      </c>
      <c r="AT9" s="24">
        <v>3</v>
      </c>
      <c r="BA9" s="7" t="s">
        <v>7</v>
      </c>
      <c r="BB9" s="8" t="s">
        <v>9</v>
      </c>
    </row>
    <row r="10" spans="1:54" ht="12.75" customHeight="1" x14ac:dyDescent="0.3">
      <c r="A10" s="121"/>
      <c r="B10" s="117">
        <v>46184</v>
      </c>
      <c r="C10" s="105">
        <v>0.83333333333333337</v>
      </c>
      <c r="D10" s="97" t="s">
        <v>137</v>
      </c>
      <c r="E10" s="130" t="s">
        <v>33</v>
      </c>
      <c r="F10" s="130" t="s">
        <v>31</v>
      </c>
      <c r="G10" s="128">
        <v>2</v>
      </c>
      <c r="H10" s="128">
        <v>1</v>
      </c>
      <c r="I10" s="134" t="str">
        <f t="shared" ref="I10:I54" si="0">IF(G10="","-",IF(G10&gt;H10,"L",IF(G10=H10,"E",IF(G10&lt;H10,"V"))))</f>
        <v>L</v>
      </c>
      <c r="J10" s="26" t="s">
        <v>7</v>
      </c>
      <c r="K10" s="13" t="s">
        <v>7</v>
      </c>
      <c r="L10" s="13" t="s">
        <v>7</v>
      </c>
      <c r="M10" s="13" t="s">
        <v>7</v>
      </c>
      <c r="N10" s="13" t="s">
        <v>7</v>
      </c>
      <c r="O10" s="13" t="s">
        <v>7</v>
      </c>
      <c r="P10" s="13" t="s">
        <v>7</v>
      </c>
      <c r="Q10" s="13" t="s">
        <v>16</v>
      </c>
      <c r="R10" s="13" t="s">
        <v>7</v>
      </c>
      <c r="S10" s="13" t="s">
        <v>15</v>
      </c>
      <c r="T10" s="13" t="s">
        <v>7</v>
      </c>
      <c r="U10" s="13" t="s">
        <v>16</v>
      </c>
      <c r="V10" s="13" t="s">
        <v>16</v>
      </c>
      <c r="W10" s="13" t="s">
        <v>7</v>
      </c>
      <c r="X10" s="13" t="s">
        <v>16</v>
      </c>
      <c r="Y10" s="13" t="s">
        <v>16</v>
      </c>
      <c r="Z10" s="13" t="s">
        <v>7</v>
      </c>
      <c r="AA10" s="13" t="s">
        <v>7</v>
      </c>
      <c r="AB10" s="13" t="s">
        <v>7</v>
      </c>
      <c r="AC10" s="13" t="s">
        <v>7</v>
      </c>
      <c r="AD10" s="13" t="s">
        <v>16</v>
      </c>
      <c r="AE10" s="13" t="s">
        <v>15</v>
      </c>
      <c r="AF10" s="13" t="s">
        <v>16</v>
      </c>
      <c r="AG10" s="13" t="s">
        <v>15</v>
      </c>
      <c r="AH10" s="88" t="s">
        <v>16</v>
      </c>
      <c r="AI10" s="13" t="s">
        <v>16</v>
      </c>
      <c r="AJ10" s="13" t="s">
        <v>16</v>
      </c>
      <c r="AK10" s="13" t="s">
        <v>15</v>
      </c>
      <c r="AL10" s="13" t="s">
        <v>7</v>
      </c>
      <c r="AM10" s="13" t="s">
        <v>15</v>
      </c>
      <c r="AN10" s="13" t="s">
        <v>16</v>
      </c>
      <c r="AO10" s="13" t="s">
        <v>16</v>
      </c>
      <c r="AP10" s="13" t="s">
        <v>16</v>
      </c>
      <c r="AQ10" s="13" t="s">
        <v>16</v>
      </c>
      <c r="AR10" s="13" t="s">
        <v>16</v>
      </c>
      <c r="AS10" s="13" t="s">
        <v>16</v>
      </c>
      <c r="AT10" s="25" t="s">
        <v>15</v>
      </c>
      <c r="BA10" s="9" t="s">
        <v>16</v>
      </c>
      <c r="BB10" s="10">
        <v>0</v>
      </c>
    </row>
    <row r="11" spans="1:54" ht="12.75" customHeight="1" x14ac:dyDescent="0.3">
      <c r="A11" s="121"/>
      <c r="B11" s="106"/>
      <c r="C11" s="106"/>
      <c r="D11" s="98"/>
      <c r="E11" s="98"/>
      <c r="F11" s="98"/>
      <c r="G11" s="129"/>
      <c r="H11" s="129"/>
      <c r="I11" s="135"/>
      <c r="J11" s="26">
        <v>3</v>
      </c>
      <c r="K11" s="13">
        <v>2</v>
      </c>
      <c r="L11" s="13">
        <v>2</v>
      </c>
      <c r="M11" s="13">
        <v>3</v>
      </c>
      <c r="N11" s="13">
        <v>2</v>
      </c>
      <c r="O11" s="13">
        <v>3</v>
      </c>
      <c r="P11" s="13">
        <v>3</v>
      </c>
      <c r="Q11" s="13">
        <v>2</v>
      </c>
      <c r="R11" s="13">
        <v>2</v>
      </c>
      <c r="S11" s="13">
        <v>3</v>
      </c>
      <c r="T11" s="13">
        <v>2</v>
      </c>
      <c r="U11" s="13">
        <v>2</v>
      </c>
      <c r="V11" s="13">
        <v>2</v>
      </c>
      <c r="W11" s="13">
        <v>2</v>
      </c>
      <c r="X11" s="13">
        <v>2</v>
      </c>
      <c r="Y11" s="13">
        <v>2</v>
      </c>
      <c r="Z11" s="13">
        <v>2</v>
      </c>
      <c r="AA11" s="13">
        <v>2</v>
      </c>
      <c r="AB11" s="13">
        <v>2</v>
      </c>
      <c r="AC11" s="13">
        <v>3</v>
      </c>
      <c r="AD11" s="13">
        <v>2</v>
      </c>
      <c r="AE11" s="13">
        <v>4</v>
      </c>
      <c r="AF11" s="13">
        <v>2</v>
      </c>
      <c r="AG11" s="13">
        <v>3</v>
      </c>
      <c r="AH11" s="89">
        <v>2</v>
      </c>
      <c r="AI11" s="13">
        <v>2</v>
      </c>
      <c r="AJ11" s="13">
        <v>2</v>
      </c>
      <c r="AK11" s="13">
        <v>2</v>
      </c>
      <c r="AL11" s="13">
        <v>3</v>
      </c>
      <c r="AM11" s="13">
        <v>1</v>
      </c>
      <c r="AN11" s="13">
        <v>4</v>
      </c>
      <c r="AO11" s="13">
        <v>4</v>
      </c>
      <c r="AP11" s="13">
        <v>4</v>
      </c>
      <c r="AQ11" s="13">
        <v>4</v>
      </c>
      <c r="AR11" s="13">
        <v>2</v>
      </c>
      <c r="AS11" s="13">
        <v>2</v>
      </c>
      <c r="AT11" s="25">
        <v>4</v>
      </c>
      <c r="BA11" s="9" t="s">
        <v>15</v>
      </c>
      <c r="BB11" s="10">
        <v>1</v>
      </c>
    </row>
    <row r="12" spans="1:54" ht="12.75" customHeight="1" x14ac:dyDescent="0.3">
      <c r="A12" s="121"/>
      <c r="B12" s="117">
        <v>46191</v>
      </c>
      <c r="C12" s="105">
        <v>0.41666666666666669</v>
      </c>
      <c r="D12" s="97" t="s">
        <v>90</v>
      </c>
      <c r="E12" s="130" t="s">
        <v>31</v>
      </c>
      <c r="F12" s="130" t="s">
        <v>34</v>
      </c>
      <c r="G12" s="128">
        <v>1</v>
      </c>
      <c r="H12" s="128">
        <v>1</v>
      </c>
      <c r="I12" s="134" t="str">
        <f t="shared" si="0"/>
        <v>E</v>
      </c>
      <c r="J12" s="23" t="s">
        <v>7</v>
      </c>
      <c r="K12" s="18" t="s">
        <v>7</v>
      </c>
      <c r="L12" s="18" t="s">
        <v>16</v>
      </c>
      <c r="M12" s="18" t="s">
        <v>15</v>
      </c>
      <c r="N12" s="18" t="s">
        <v>7</v>
      </c>
      <c r="O12" s="18" t="s">
        <v>16</v>
      </c>
      <c r="P12" s="18" t="s">
        <v>15</v>
      </c>
      <c r="Q12" s="18" t="s">
        <v>7</v>
      </c>
      <c r="R12" s="18" t="s">
        <v>7</v>
      </c>
      <c r="S12" s="18" t="s">
        <v>7</v>
      </c>
      <c r="T12" s="18" t="s">
        <v>7</v>
      </c>
      <c r="U12" s="18" t="s">
        <v>7</v>
      </c>
      <c r="V12" s="18" t="s">
        <v>7</v>
      </c>
      <c r="W12" s="18" t="s">
        <v>16</v>
      </c>
      <c r="X12" s="18" t="s">
        <v>7</v>
      </c>
      <c r="Y12" s="18" t="s">
        <v>7</v>
      </c>
      <c r="Z12" s="18" t="s">
        <v>16</v>
      </c>
      <c r="AA12" s="18" t="s">
        <v>15</v>
      </c>
      <c r="AB12" s="18" t="s">
        <v>7</v>
      </c>
      <c r="AC12" s="18" t="s">
        <v>7</v>
      </c>
      <c r="AD12" s="18" t="s">
        <v>7</v>
      </c>
      <c r="AE12" s="18" t="s">
        <v>16</v>
      </c>
      <c r="AF12" s="18" t="s">
        <v>7</v>
      </c>
      <c r="AG12" s="18" t="s">
        <v>7</v>
      </c>
      <c r="AH12" s="90" t="s">
        <v>7</v>
      </c>
      <c r="AI12" s="18" t="s">
        <v>7</v>
      </c>
      <c r="AJ12" s="18" t="s">
        <v>7</v>
      </c>
      <c r="AK12" s="18" t="s">
        <v>7</v>
      </c>
      <c r="AL12" s="18" t="s">
        <v>7</v>
      </c>
      <c r="AM12" s="18" t="s">
        <v>7</v>
      </c>
      <c r="AN12" s="18" t="s">
        <v>7</v>
      </c>
      <c r="AO12" s="18" t="s">
        <v>7</v>
      </c>
      <c r="AP12" s="18" t="s">
        <v>7</v>
      </c>
      <c r="AQ12" s="18" t="s">
        <v>7</v>
      </c>
      <c r="AR12" s="18" t="s">
        <v>15</v>
      </c>
      <c r="AS12" s="18" t="s">
        <v>7</v>
      </c>
      <c r="AT12" s="24" t="s">
        <v>7</v>
      </c>
      <c r="BA12" s="9"/>
      <c r="BB12" s="10">
        <v>2</v>
      </c>
    </row>
    <row r="13" spans="1:54" ht="12.75" customHeight="1" x14ac:dyDescent="0.3">
      <c r="A13" s="121"/>
      <c r="B13" s="106"/>
      <c r="C13" s="106"/>
      <c r="D13" s="98"/>
      <c r="E13" s="98"/>
      <c r="F13" s="98"/>
      <c r="G13" s="129"/>
      <c r="H13" s="129"/>
      <c r="I13" s="135"/>
      <c r="J13" s="23">
        <v>2</v>
      </c>
      <c r="K13" s="18">
        <v>1</v>
      </c>
      <c r="L13" s="18">
        <v>2</v>
      </c>
      <c r="M13" s="18">
        <v>4</v>
      </c>
      <c r="N13" s="18">
        <v>2</v>
      </c>
      <c r="O13" s="18">
        <v>2</v>
      </c>
      <c r="P13" s="18">
        <v>3</v>
      </c>
      <c r="Q13" s="18">
        <v>2</v>
      </c>
      <c r="R13" s="18">
        <v>3</v>
      </c>
      <c r="S13" s="18">
        <v>3</v>
      </c>
      <c r="T13" s="18">
        <v>3</v>
      </c>
      <c r="U13" s="18">
        <v>2</v>
      </c>
      <c r="V13" s="18">
        <v>1</v>
      </c>
      <c r="W13" s="18">
        <v>2</v>
      </c>
      <c r="X13" s="18">
        <v>3</v>
      </c>
      <c r="Y13" s="18">
        <v>3</v>
      </c>
      <c r="Z13" s="18">
        <v>2</v>
      </c>
      <c r="AA13" s="18">
        <v>3</v>
      </c>
      <c r="AB13" s="18">
        <v>2</v>
      </c>
      <c r="AC13" s="18">
        <v>2</v>
      </c>
      <c r="AD13" s="18">
        <v>3</v>
      </c>
      <c r="AE13" s="18">
        <v>2</v>
      </c>
      <c r="AF13" s="18">
        <v>2</v>
      </c>
      <c r="AG13" s="18">
        <v>3</v>
      </c>
      <c r="AH13" s="87">
        <v>2</v>
      </c>
      <c r="AI13" s="18">
        <v>3</v>
      </c>
      <c r="AJ13" s="18">
        <v>3</v>
      </c>
      <c r="AK13" s="18">
        <v>2</v>
      </c>
      <c r="AL13" s="18">
        <v>1</v>
      </c>
      <c r="AM13" s="18">
        <v>2</v>
      </c>
      <c r="AN13" s="18">
        <v>4</v>
      </c>
      <c r="AO13" s="18">
        <v>2</v>
      </c>
      <c r="AP13" s="18">
        <v>3</v>
      </c>
      <c r="AQ13" s="18">
        <v>3</v>
      </c>
      <c r="AR13" s="18">
        <v>2</v>
      </c>
      <c r="AS13" s="18">
        <v>3</v>
      </c>
      <c r="AT13" s="24">
        <v>3</v>
      </c>
      <c r="BA13" s="9"/>
      <c r="BB13" s="10">
        <v>3</v>
      </c>
    </row>
    <row r="14" spans="1:54" ht="12.75" customHeight="1" x14ac:dyDescent="0.3">
      <c r="A14" s="121"/>
      <c r="B14" s="117">
        <v>46191</v>
      </c>
      <c r="C14" s="105">
        <v>0.79166666666666663</v>
      </c>
      <c r="D14" s="97" t="s">
        <v>137</v>
      </c>
      <c r="E14" s="130" t="s">
        <v>32</v>
      </c>
      <c r="F14" s="130" t="s">
        <v>33</v>
      </c>
      <c r="G14" s="128">
        <v>1</v>
      </c>
      <c r="H14" s="128">
        <v>0</v>
      </c>
      <c r="I14" s="134" t="str">
        <f t="shared" si="0"/>
        <v>L</v>
      </c>
      <c r="J14" s="26" t="s">
        <v>7</v>
      </c>
      <c r="K14" s="13" t="s">
        <v>16</v>
      </c>
      <c r="L14" s="13" t="s">
        <v>7</v>
      </c>
      <c r="M14" s="13" t="s">
        <v>16</v>
      </c>
      <c r="N14" s="13" t="s">
        <v>7</v>
      </c>
      <c r="O14" s="13" t="s">
        <v>16</v>
      </c>
      <c r="P14" s="13" t="s">
        <v>7</v>
      </c>
      <c r="Q14" s="13" t="s">
        <v>7</v>
      </c>
      <c r="R14" s="13" t="s">
        <v>7</v>
      </c>
      <c r="S14" s="13" t="s">
        <v>7</v>
      </c>
      <c r="T14" s="13" t="s">
        <v>7</v>
      </c>
      <c r="U14" s="13" t="s">
        <v>7</v>
      </c>
      <c r="V14" s="13" t="s">
        <v>7</v>
      </c>
      <c r="W14" s="13" t="s">
        <v>7</v>
      </c>
      <c r="X14" s="13" t="s">
        <v>7</v>
      </c>
      <c r="Y14" s="13" t="s">
        <v>7</v>
      </c>
      <c r="Z14" s="13" t="s">
        <v>7</v>
      </c>
      <c r="AA14" s="13" t="s">
        <v>7</v>
      </c>
      <c r="AB14" s="13" t="s">
        <v>16</v>
      </c>
      <c r="AC14" s="13" t="s">
        <v>7</v>
      </c>
      <c r="AD14" s="13" t="s">
        <v>7</v>
      </c>
      <c r="AE14" s="13" t="s">
        <v>7</v>
      </c>
      <c r="AF14" s="13" t="s">
        <v>7</v>
      </c>
      <c r="AG14" s="13" t="s">
        <v>7</v>
      </c>
      <c r="AH14" s="88" t="s">
        <v>7</v>
      </c>
      <c r="AI14" s="13" t="s">
        <v>16</v>
      </c>
      <c r="AJ14" s="13" t="s">
        <v>7</v>
      </c>
      <c r="AK14" s="13" t="s">
        <v>7</v>
      </c>
      <c r="AL14" s="13" t="s">
        <v>16</v>
      </c>
      <c r="AM14" s="13" t="s">
        <v>7</v>
      </c>
      <c r="AN14" s="13" t="s">
        <v>7</v>
      </c>
      <c r="AO14" s="13" t="s">
        <v>16</v>
      </c>
      <c r="AP14" s="13" t="s">
        <v>16</v>
      </c>
      <c r="AQ14" s="13" t="s">
        <v>7</v>
      </c>
      <c r="AR14" s="13" t="s">
        <v>7</v>
      </c>
      <c r="AS14" s="13" t="s">
        <v>7</v>
      </c>
      <c r="AT14" s="25" t="s">
        <v>7</v>
      </c>
      <c r="BA14" s="9"/>
      <c r="BB14" s="10">
        <v>4</v>
      </c>
    </row>
    <row r="15" spans="1:54" ht="12.75" customHeight="1" x14ac:dyDescent="0.3">
      <c r="A15" s="121"/>
      <c r="B15" s="106"/>
      <c r="C15" s="106"/>
      <c r="D15" s="98"/>
      <c r="E15" s="98"/>
      <c r="F15" s="98"/>
      <c r="G15" s="129"/>
      <c r="H15" s="129"/>
      <c r="I15" s="135"/>
      <c r="J15" s="26">
        <v>2</v>
      </c>
      <c r="K15" s="13">
        <v>4</v>
      </c>
      <c r="L15" s="13">
        <v>1</v>
      </c>
      <c r="M15" s="13">
        <v>2</v>
      </c>
      <c r="N15" s="13">
        <v>1</v>
      </c>
      <c r="O15" s="13">
        <v>2</v>
      </c>
      <c r="P15" s="13">
        <v>3</v>
      </c>
      <c r="Q15" s="13">
        <v>2</v>
      </c>
      <c r="R15" s="13">
        <v>3</v>
      </c>
      <c r="S15" s="13">
        <v>3</v>
      </c>
      <c r="T15" s="13">
        <v>2</v>
      </c>
      <c r="U15" s="13">
        <v>3</v>
      </c>
      <c r="V15" s="13">
        <v>3</v>
      </c>
      <c r="W15" s="13">
        <v>2</v>
      </c>
      <c r="X15" s="13">
        <v>3</v>
      </c>
      <c r="Y15" s="13">
        <v>3</v>
      </c>
      <c r="Z15" s="13">
        <v>3</v>
      </c>
      <c r="AA15" s="13">
        <v>3</v>
      </c>
      <c r="AB15" s="13">
        <v>2</v>
      </c>
      <c r="AC15" s="13">
        <v>2</v>
      </c>
      <c r="AD15" s="13">
        <v>3</v>
      </c>
      <c r="AE15" s="13">
        <v>4</v>
      </c>
      <c r="AF15" s="13">
        <v>3</v>
      </c>
      <c r="AG15" s="13">
        <v>3</v>
      </c>
      <c r="AH15" s="89">
        <v>3</v>
      </c>
      <c r="AI15" s="13">
        <v>2</v>
      </c>
      <c r="AJ15" s="13">
        <v>3</v>
      </c>
      <c r="AK15" s="13">
        <v>3</v>
      </c>
      <c r="AL15" s="13">
        <v>2</v>
      </c>
      <c r="AM15" s="13">
        <v>3</v>
      </c>
      <c r="AN15" s="13">
        <v>5</v>
      </c>
      <c r="AO15" s="13">
        <v>4</v>
      </c>
      <c r="AP15" s="13">
        <v>2</v>
      </c>
      <c r="AQ15" s="13">
        <v>2</v>
      </c>
      <c r="AR15" s="13">
        <v>4</v>
      </c>
      <c r="AS15" s="13">
        <v>4</v>
      </c>
      <c r="AT15" s="25">
        <v>3</v>
      </c>
      <c r="BA15" s="9"/>
      <c r="BB15" s="10">
        <v>5</v>
      </c>
    </row>
    <row r="16" spans="1:54" ht="12.75" customHeight="1" x14ac:dyDescent="0.3">
      <c r="A16" s="121"/>
      <c r="B16" s="117">
        <v>46197</v>
      </c>
      <c r="C16" s="105">
        <v>0.79166666666666663</v>
      </c>
      <c r="D16" s="97" t="s">
        <v>89</v>
      </c>
      <c r="E16" s="130" t="s">
        <v>31</v>
      </c>
      <c r="F16" s="130" t="s">
        <v>32</v>
      </c>
      <c r="G16" s="128"/>
      <c r="H16" s="128"/>
      <c r="I16" s="134" t="str">
        <f t="shared" si="0"/>
        <v>-</v>
      </c>
      <c r="J16" s="23" t="s">
        <v>7</v>
      </c>
      <c r="K16" s="18" t="s">
        <v>15</v>
      </c>
      <c r="L16" s="18" t="s">
        <v>15</v>
      </c>
      <c r="M16" s="18" t="s">
        <v>15</v>
      </c>
      <c r="N16" s="18" t="s">
        <v>15</v>
      </c>
      <c r="O16" s="18" t="s">
        <v>15</v>
      </c>
      <c r="P16" s="18" t="s">
        <v>15</v>
      </c>
      <c r="Q16" s="18" t="s">
        <v>16</v>
      </c>
      <c r="R16" s="18" t="s">
        <v>16</v>
      </c>
      <c r="S16" s="18" t="s">
        <v>16</v>
      </c>
      <c r="T16" s="18" t="s">
        <v>16</v>
      </c>
      <c r="U16" s="18" t="s">
        <v>16</v>
      </c>
      <c r="V16" s="18" t="s">
        <v>15</v>
      </c>
      <c r="W16" s="18" t="s">
        <v>15</v>
      </c>
      <c r="X16" s="18" t="s">
        <v>15</v>
      </c>
      <c r="Y16" s="18" t="s">
        <v>15</v>
      </c>
      <c r="Z16" s="18" t="s">
        <v>15</v>
      </c>
      <c r="AA16" s="18" t="s">
        <v>15</v>
      </c>
      <c r="AB16" s="18" t="s">
        <v>15</v>
      </c>
      <c r="AC16" s="18" t="s">
        <v>15</v>
      </c>
      <c r="AD16" s="18" t="s">
        <v>15</v>
      </c>
      <c r="AE16" s="18" t="s">
        <v>16</v>
      </c>
      <c r="AF16" s="18" t="s">
        <v>7</v>
      </c>
      <c r="AG16" s="18" t="s">
        <v>16</v>
      </c>
      <c r="AH16" s="87" t="s">
        <v>15</v>
      </c>
      <c r="AI16" s="18" t="s">
        <v>16</v>
      </c>
      <c r="AJ16" s="18" t="s">
        <v>15</v>
      </c>
      <c r="AK16" s="18" t="s">
        <v>15</v>
      </c>
      <c r="AL16" s="18" t="s">
        <v>15</v>
      </c>
      <c r="AM16" s="18" t="s">
        <v>15</v>
      </c>
      <c r="AN16" s="18" t="s">
        <v>16</v>
      </c>
      <c r="AO16" s="18" t="s">
        <v>15</v>
      </c>
      <c r="AP16" s="18" t="s">
        <v>7</v>
      </c>
      <c r="AQ16" s="18" t="s">
        <v>16</v>
      </c>
      <c r="AR16" s="18" t="s">
        <v>7</v>
      </c>
      <c r="AS16" s="18" t="s">
        <v>15</v>
      </c>
      <c r="AT16" s="24" t="s">
        <v>7</v>
      </c>
      <c r="BA16" s="9"/>
      <c r="BB16" s="10">
        <v>6</v>
      </c>
    </row>
    <row r="17" spans="1:54" ht="12.75" customHeight="1" x14ac:dyDescent="0.3">
      <c r="A17" s="121"/>
      <c r="B17" s="106"/>
      <c r="C17" s="106"/>
      <c r="D17" s="98"/>
      <c r="E17" s="98"/>
      <c r="F17" s="98"/>
      <c r="G17" s="129"/>
      <c r="H17" s="129"/>
      <c r="I17" s="135"/>
      <c r="J17" s="23">
        <v>3</v>
      </c>
      <c r="K17" s="18">
        <v>2</v>
      </c>
      <c r="L17" s="18">
        <v>2</v>
      </c>
      <c r="M17" s="18">
        <v>3</v>
      </c>
      <c r="N17" s="18">
        <v>3</v>
      </c>
      <c r="O17" s="18">
        <v>3</v>
      </c>
      <c r="P17" s="18">
        <v>2</v>
      </c>
      <c r="Q17" s="18">
        <v>4</v>
      </c>
      <c r="R17" s="18">
        <v>2</v>
      </c>
      <c r="S17" s="18">
        <v>2</v>
      </c>
      <c r="T17" s="18">
        <v>4</v>
      </c>
      <c r="U17" s="18">
        <v>2</v>
      </c>
      <c r="V17" s="18">
        <v>3</v>
      </c>
      <c r="W17" s="18">
        <v>2</v>
      </c>
      <c r="X17" s="18">
        <v>3</v>
      </c>
      <c r="Y17" s="18">
        <v>3</v>
      </c>
      <c r="Z17" s="18">
        <v>2</v>
      </c>
      <c r="AA17" s="18">
        <v>4</v>
      </c>
      <c r="AB17" s="18">
        <v>3</v>
      </c>
      <c r="AC17" s="18">
        <v>2</v>
      </c>
      <c r="AD17" s="18">
        <v>3</v>
      </c>
      <c r="AE17" s="18">
        <v>0</v>
      </c>
      <c r="AF17" s="18">
        <v>2</v>
      </c>
      <c r="AG17" s="18">
        <v>2</v>
      </c>
      <c r="AH17" s="87">
        <v>2</v>
      </c>
      <c r="AI17" s="18">
        <v>2</v>
      </c>
      <c r="AJ17" s="18">
        <v>1</v>
      </c>
      <c r="AK17" s="18">
        <v>3</v>
      </c>
      <c r="AL17" s="18">
        <v>3</v>
      </c>
      <c r="AM17" s="18">
        <v>3</v>
      </c>
      <c r="AN17" s="18">
        <v>2</v>
      </c>
      <c r="AO17" s="18">
        <v>3</v>
      </c>
      <c r="AP17" s="18">
        <v>3</v>
      </c>
      <c r="AQ17" s="18">
        <v>2</v>
      </c>
      <c r="AR17" s="18">
        <v>1</v>
      </c>
      <c r="AS17" s="18">
        <v>3</v>
      </c>
      <c r="AT17" s="24">
        <v>4</v>
      </c>
      <c r="BA17" s="9"/>
      <c r="BB17" s="10">
        <v>7</v>
      </c>
    </row>
    <row r="18" spans="1:54" ht="12.75" customHeight="1" x14ac:dyDescent="0.3">
      <c r="A18" s="121"/>
      <c r="B18" s="117">
        <v>46197</v>
      </c>
      <c r="C18" s="105">
        <v>0.79166666666666663</v>
      </c>
      <c r="D18" s="97" t="s">
        <v>83</v>
      </c>
      <c r="E18" s="130" t="s">
        <v>34</v>
      </c>
      <c r="F18" s="130" t="s">
        <v>33</v>
      </c>
      <c r="G18" s="128"/>
      <c r="H18" s="128"/>
      <c r="I18" s="134" t="str">
        <f t="shared" si="0"/>
        <v>-</v>
      </c>
      <c r="J18" s="26" t="s">
        <v>15</v>
      </c>
      <c r="K18" s="13" t="s">
        <v>15</v>
      </c>
      <c r="L18" s="13" t="s">
        <v>15</v>
      </c>
      <c r="M18" s="13" t="s">
        <v>7</v>
      </c>
      <c r="N18" s="13" t="s">
        <v>16</v>
      </c>
      <c r="O18" s="13" t="s">
        <v>15</v>
      </c>
      <c r="P18" s="13" t="s">
        <v>15</v>
      </c>
      <c r="Q18" s="13" t="s">
        <v>15</v>
      </c>
      <c r="R18" s="13" t="s">
        <v>15</v>
      </c>
      <c r="S18" s="13" t="s">
        <v>15</v>
      </c>
      <c r="T18" s="13" t="s">
        <v>15</v>
      </c>
      <c r="U18" s="13" t="s">
        <v>15</v>
      </c>
      <c r="V18" s="13" t="s">
        <v>15</v>
      </c>
      <c r="W18" s="13" t="s">
        <v>15</v>
      </c>
      <c r="X18" s="13" t="s">
        <v>16</v>
      </c>
      <c r="Y18" s="13" t="s">
        <v>15</v>
      </c>
      <c r="Z18" s="13" t="s">
        <v>15</v>
      </c>
      <c r="AA18" s="13" t="s">
        <v>15</v>
      </c>
      <c r="AB18" s="13" t="s">
        <v>15</v>
      </c>
      <c r="AC18" s="13" t="s">
        <v>15</v>
      </c>
      <c r="AD18" s="13" t="s">
        <v>15</v>
      </c>
      <c r="AE18" s="13" t="s">
        <v>15</v>
      </c>
      <c r="AF18" s="13" t="s">
        <v>15</v>
      </c>
      <c r="AG18" s="13" t="s">
        <v>16</v>
      </c>
      <c r="AH18" s="89" t="s">
        <v>16</v>
      </c>
      <c r="AI18" s="13" t="s">
        <v>15</v>
      </c>
      <c r="AJ18" s="13" t="s">
        <v>15</v>
      </c>
      <c r="AK18" s="13" t="s">
        <v>16</v>
      </c>
      <c r="AL18" s="13" t="s">
        <v>15</v>
      </c>
      <c r="AM18" s="13" t="s">
        <v>16</v>
      </c>
      <c r="AN18" s="13" t="s">
        <v>15</v>
      </c>
      <c r="AO18" s="13" t="s">
        <v>15</v>
      </c>
      <c r="AP18" s="13" t="s">
        <v>15</v>
      </c>
      <c r="AQ18" s="13" t="s">
        <v>15</v>
      </c>
      <c r="AR18" s="13" t="s">
        <v>7</v>
      </c>
      <c r="AS18" s="13" t="s">
        <v>16</v>
      </c>
      <c r="AT18" s="25" t="s">
        <v>16</v>
      </c>
      <c r="BA18" s="9"/>
      <c r="BB18" s="10">
        <v>8</v>
      </c>
    </row>
    <row r="19" spans="1:54" ht="12.75" customHeight="1" x14ac:dyDescent="0.3">
      <c r="A19" s="122"/>
      <c r="B19" s="106"/>
      <c r="C19" s="106"/>
      <c r="D19" s="98"/>
      <c r="E19" s="98"/>
      <c r="F19" s="98"/>
      <c r="G19" s="129"/>
      <c r="H19" s="129"/>
      <c r="I19" s="135"/>
      <c r="J19" s="26">
        <v>3</v>
      </c>
      <c r="K19" s="13">
        <v>4</v>
      </c>
      <c r="L19" s="13">
        <v>2</v>
      </c>
      <c r="M19" s="13">
        <v>3</v>
      </c>
      <c r="N19" s="13">
        <v>2</v>
      </c>
      <c r="O19" s="13">
        <v>2</v>
      </c>
      <c r="P19" s="13">
        <v>2</v>
      </c>
      <c r="Q19" s="13">
        <v>3</v>
      </c>
      <c r="R19" s="13">
        <v>2</v>
      </c>
      <c r="S19" s="13">
        <v>2</v>
      </c>
      <c r="T19" s="13">
        <v>2</v>
      </c>
      <c r="U19" s="13">
        <v>2</v>
      </c>
      <c r="V19" s="13">
        <v>3</v>
      </c>
      <c r="W19" s="13">
        <v>3</v>
      </c>
      <c r="X19" s="13">
        <v>2</v>
      </c>
      <c r="Y19" s="13">
        <v>1</v>
      </c>
      <c r="Z19" s="13">
        <v>2</v>
      </c>
      <c r="AA19" s="13">
        <v>3</v>
      </c>
      <c r="AB19" s="13">
        <v>2</v>
      </c>
      <c r="AC19" s="13">
        <v>3</v>
      </c>
      <c r="AD19" s="13">
        <v>3</v>
      </c>
      <c r="AE19" s="13">
        <v>3</v>
      </c>
      <c r="AF19" s="13">
        <v>2</v>
      </c>
      <c r="AG19" s="13">
        <v>2</v>
      </c>
      <c r="AH19" s="89">
        <v>2</v>
      </c>
      <c r="AI19" s="13">
        <v>1</v>
      </c>
      <c r="AJ19" s="13">
        <v>2</v>
      </c>
      <c r="AK19" s="13">
        <v>2</v>
      </c>
      <c r="AL19" s="13">
        <v>2</v>
      </c>
      <c r="AM19" s="13">
        <v>0</v>
      </c>
      <c r="AN19" s="13">
        <v>3</v>
      </c>
      <c r="AO19" s="13">
        <v>3</v>
      </c>
      <c r="AP19" s="13">
        <v>1</v>
      </c>
      <c r="AQ19" s="13">
        <v>2</v>
      </c>
      <c r="AR19" s="13">
        <v>1</v>
      </c>
      <c r="AS19" s="13">
        <v>4</v>
      </c>
      <c r="AT19" s="25">
        <v>2</v>
      </c>
      <c r="BA19" s="9"/>
      <c r="BB19" s="10">
        <v>9</v>
      </c>
    </row>
    <row r="20" spans="1:54" ht="12.75" customHeight="1" x14ac:dyDescent="0.3">
      <c r="A20" s="131" t="s">
        <v>2</v>
      </c>
      <c r="B20" s="116">
        <v>46185</v>
      </c>
      <c r="C20" s="107">
        <v>0.54166666666666663</v>
      </c>
      <c r="D20" s="99" t="s">
        <v>84</v>
      </c>
      <c r="E20" s="125" t="s">
        <v>35</v>
      </c>
      <c r="F20" s="125" t="s">
        <v>37</v>
      </c>
      <c r="G20" s="126">
        <v>1</v>
      </c>
      <c r="H20" s="126">
        <v>1</v>
      </c>
      <c r="I20" s="123" t="str">
        <f t="shared" si="0"/>
        <v>E</v>
      </c>
      <c r="J20" s="27" t="s">
        <v>7</v>
      </c>
      <c r="K20" s="19" t="s">
        <v>7</v>
      </c>
      <c r="L20" s="19" t="s">
        <v>7</v>
      </c>
      <c r="M20" s="19" t="s">
        <v>16</v>
      </c>
      <c r="N20" s="19" t="s">
        <v>7</v>
      </c>
      <c r="O20" s="19" t="s">
        <v>7</v>
      </c>
      <c r="P20" s="19" t="s">
        <v>7</v>
      </c>
      <c r="Q20" s="19" t="s">
        <v>16</v>
      </c>
      <c r="R20" s="19" t="s">
        <v>7</v>
      </c>
      <c r="S20" s="19" t="s">
        <v>7</v>
      </c>
      <c r="T20" s="19" t="s">
        <v>7</v>
      </c>
      <c r="U20" s="19" t="s">
        <v>7</v>
      </c>
      <c r="V20" s="19" t="s">
        <v>7</v>
      </c>
      <c r="W20" s="19" t="s">
        <v>7</v>
      </c>
      <c r="X20" s="19" t="s">
        <v>16</v>
      </c>
      <c r="Y20" s="19" t="s">
        <v>7</v>
      </c>
      <c r="Z20" s="19" t="s">
        <v>7</v>
      </c>
      <c r="AA20" s="19" t="s">
        <v>7</v>
      </c>
      <c r="AB20" s="19" t="s">
        <v>7</v>
      </c>
      <c r="AC20" s="19" t="s">
        <v>7</v>
      </c>
      <c r="AD20" s="19" t="s">
        <v>16</v>
      </c>
      <c r="AE20" s="19" t="s">
        <v>7</v>
      </c>
      <c r="AF20" s="19" t="s">
        <v>7</v>
      </c>
      <c r="AG20" s="19" t="s">
        <v>7</v>
      </c>
      <c r="AH20" s="91" t="s">
        <v>7</v>
      </c>
      <c r="AI20" s="19" t="s">
        <v>7</v>
      </c>
      <c r="AJ20" s="19" t="s">
        <v>7</v>
      </c>
      <c r="AK20" s="19" t="s">
        <v>7</v>
      </c>
      <c r="AL20" s="19" t="s">
        <v>7</v>
      </c>
      <c r="AM20" s="19" t="s">
        <v>7</v>
      </c>
      <c r="AN20" s="19" t="s">
        <v>7</v>
      </c>
      <c r="AO20" s="19" t="s">
        <v>16</v>
      </c>
      <c r="AP20" s="19" t="s">
        <v>7</v>
      </c>
      <c r="AQ20" s="19" t="s">
        <v>7</v>
      </c>
      <c r="AR20" s="19" t="s">
        <v>7</v>
      </c>
      <c r="AS20" s="19" t="s">
        <v>7</v>
      </c>
      <c r="AT20" s="28" t="s">
        <v>7</v>
      </c>
      <c r="BA20" s="9"/>
      <c r="BB20" s="10">
        <v>10</v>
      </c>
    </row>
    <row r="21" spans="1:54" ht="12.75" customHeight="1" x14ac:dyDescent="0.3">
      <c r="A21" s="132"/>
      <c r="B21" s="108"/>
      <c r="C21" s="108"/>
      <c r="D21" s="100"/>
      <c r="E21" s="100"/>
      <c r="F21" s="100"/>
      <c r="G21" s="127"/>
      <c r="H21" s="127"/>
      <c r="I21" s="124"/>
      <c r="J21" s="27">
        <v>2</v>
      </c>
      <c r="K21" s="19">
        <v>3</v>
      </c>
      <c r="L21" s="19">
        <v>2</v>
      </c>
      <c r="M21" s="19">
        <v>2</v>
      </c>
      <c r="N21" s="19">
        <v>3</v>
      </c>
      <c r="O21" s="19">
        <v>1</v>
      </c>
      <c r="P21" s="19">
        <v>2</v>
      </c>
      <c r="Q21" s="19">
        <v>2</v>
      </c>
      <c r="R21" s="19">
        <v>3</v>
      </c>
      <c r="S21" s="19">
        <v>3</v>
      </c>
      <c r="T21" s="19">
        <v>1</v>
      </c>
      <c r="U21" s="19">
        <v>1</v>
      </c>
      <c r="V21" s="19">
        <v>1</v>
      </c>
      <c r="W21" s="19">
        <v>3</v>
      </c>
      <c r="X21" s="19">
        <v>2</v>
      </c>
      <c r="Y21" s="19">
        <v>3</v>
      </c>
      <c r="Z21" s="19">
        <v>3</v>
      </c>
      <c r="AA21" s="19">
        <v>2</v>
      </c>
      <c r="AB21" s="19">
        <v>1</v>
      </c>
      <c r="AC21" s="19">
        <v>2</v>
      </c>
      <c r="AD21" s="19">
        <v>2</v>
      </c>
      <c r="AE21" s="19">
        <v>4</v>
      </c>
      <c r="AF21" s="19">
        <v>3</v>
      </c>
      <c r="AG21" s="19">
        <v>1</v>
      </c>
      <c r="AH21" s="91">
        <v>3</v>
      </c>
      <c r="AI21" s="19">
        <v>3</v>
      </c>
      <c r="AJ21" s="19">
        <v>2</v>
      </c>
      <c r="AK21" s="19">
        <v>3</v>
      </c>
      <c r="AL21" s="19">
        <v>1</v>
      </c>
      <c r="AM21" s="19">
        <v>1</v>
      </c>
      <c r="AN21" s="19">
        <v>1</v>
      </c>
      <c r="AO21" s="19">
        <v>4</v>
      </c>
      <c r="AP21" s="19">
        <v>2</v>
      </c>
      <c r="AQ21" s="19">
        <v>1</v>
      </c>
      <c r="AR21" s="19">
        <v>2</v>
      </c>
      <c r="AS21" s="19">
        <v>3</v>
      </c>
      <c r="AT21" s="28">
        <v>3</v>
      </c>
      <c r="BA21" s="9"/>
      <c r="BB21" s="10">
        <v>11</v>
      </c>
    </row>
    <row r="22" spans="1:54" ht="12.75" customHeight="1" x14ac:dyDescent="0.3">
      <c r="A22" s="132"/>
      <c r="B22" s="116">
        <v>46186</v>
      </c>
      <c r="C22" s="116" t="s">
        <v>136</v>
      </c>
      <c r="D22" s="110" t="s">
        <v>85</v>
      </c>
      <c r="E22" s="125" t="s">
        <v>36</v>
      </c>
      <c r="F22" s="125" t="s">
        <v>22</v>
      </c>
      <c r="G22" s="126">
        <v>1</v>
      </c>
      <c r="H22" s="126">
        <v>1</v>
      </c>
      <c r="I22" s="123" t="str">
        <f t="shared" si="0"/>
        <v>E</v>
      </c>
      <c r="J22" s="26" t="s">
        <v>15</v>
      </c>
      <c r="K22" s="13" t="s">
        <v>15</v>
      </c>
      <c r="L22" s="13" t="s">
        <v>15</v>
      </c>
      <c r="M22" s="13" t="s">
        <v>16</v>
      </c>
      <c r="N22" s="13" t="s">
        <v>15</v>
      </c>
      <c r="O22" s="13" t="s">
        <v>15</v>
      </c>
      <c r="P22" s="13" t="s">
        <v>15</v>
      </c>
      <c r="Q22" s="13" t="s">
        <v>15</v>
      </c>
      <c r="R22" s="13" t="s">
        <v>15</v>
      </c>
      <c r="S22" s="13" t="s">
        <v>15</v>
      </c>
      <c r="T22" s="13" t="s">
        <v>15</v>
      </c>
      <c r="U22" s="13" t="s">
        <v>15</v>
      </c>
      <c r="V22" s="13" t="s">
        <v>15</v>
      </c>
      <c r="W22" s="13" t="s">
        <v>15</v>
      </c>
      <c r="X22" s="13" t="s">
        <v>15</v>
      </c>
      <c r="Y22" s="13" t="s">
        <v>15</v>
      </c>
      <c r="Z22" s="13" t="s">
        <v>15</v>
      </c>
      <c r="AA22" s="13" t="s">
        <v>15</v>
      </c>
      <c r="AB22" s="13" t="s">
        <v>15</v>
      </c>
      <c r="AC22" s="13" t="s">
        <v>15</v>
      </c>
      <c r="AD22" s="13" t="s">
        <v>15</v>
      </c>
      <c r="AE22" s="13" t="s">
        <v>15</v>
      </c>
      <c r="AF22" s="13" t="s">
        <v>15</v>
      </c>
      <c r="AG22" s="13" t="s">
        <v>15</v>
      </c>
      <c r="AH22" s="89" t="s">
        <v>15</v>
      </c>
      <c r="AI22" s="13" t="s">
        <v>15</v>
      </c>
      <c r="AJ22" s="13" t="s">
        <v>15</v>
      </c>
      <c r="AK22" s="13" t="s">
        <v>15</v>
      </c>
      <c r="AL22" s="13" t="s">
        <v>15</v>
      </c>
      <c r="AM22" s="13" t="s">
        <v>15</v>
      </c>
      <c r="AN22" s="13" t="s">
        <v>15</v>
      </c>
      <c r="AO22" s="13" t="s">
        <v>15</v>
      </c>
      <c r="AP22" s="13" t="s">
        <v>15</v>
      </c>
      <c r="AQ22" s="13" t="s">
        <v>15</v>
      </c>
      <c r="AR22" s="13" t="s">
        <v>15</v>
      </c>
      <c r="AS22" s="13" t="s">
        <v>15</v>
      </c>
      <c r="AT22" s="25" t="s">
        <v>15</v>
      </c>
      <c r="BA22" s="9"/>
      <c r="BB22" s="10">
        <v>12</v>
      </c>
    </row>
    <row r="23" spans="1:54" ht="12.75" customHeight="1" x14ac:dyDescent="0.3">
      <c r="A23" s="132"/>
      <c r="B23" s="108"/>
      <c r="C23" s="108"/>
      <c r="D23" s="100"/>
      <c r="E23" s="100"/>
      <c r="F23" s="100"/>
      <c r="G23" s="127"/>
      <c r="H23" s="127"/>
      <c r="I23" s="124"/>
      <c r="J23" s="26">
        <v>2</v>
      </c>
      <c r="K23" s="13">
        <v>1</v>
      </c>
      <c r="L23" s="13">
        <v>2</v>
      </c>
      <c r="M23" s="13">
        <v>2</v>
      </c>
      <c r="N23" s="13">
        <v>2</v>
      </c>
      <c r="O23" s="13">
        <v>2</v>
      </c>
      <c r="P23" s="13">
        <v>3</v>
      </c>
      <c r="Q23" s="13">
        <v>3</v>
      </c>
      <c r="R23" s="13">
        <v>3</v>
      </c>
      <c r="S23" s="13">
        <v>3</v>
      </c>
      <c r="T23" s="13">
        <v>2</v>
      </c>
      <c r="U23" s="13">
        <v>2</v>
      </c>
      <c r="V23" s="13">
        <v>2</v>
      </c>
      <c r="W23" s="13">
        <v>3</v>
      </c>
      <c r="X23" s="13">
        <v>2</v>
      </c>
      <c r="Y23" s="13">
        <v>2</v>
      </c>
      <c r="Z23" s="13">
        <v>4</v>
      </c>
      <c r="AA23" s="13">
        <v>3</v>
      </c>
      <c r="AB23" s="13">
        <v>2</v>
      </c>
      <c r="AC23" s="13">
        <v>3</v>
      </c>
      <c r="AD23" s="13">
        <v>2</v>
      </c>
      <c r="AE23" s="13">
        <v>4</v>
      </c>
      <c r="AF23" s="13">
        <v>3</v>
      </c>
      <c r="AG23" s="13">
        <v>3</v>
      </c>
      <c r="AH23" s="89">
        <v>2</v>
      </c>
      <c r="AI23" s="13">
        <v>2</v>
      </c>
      <c r="AJ23" s="13">
        <v>3</v>
      </c>
      <c r="AK23" s="13">
        <v>2</v>
      </c>
      <c r="AL23" s="13">
        <v>2</v>
      </c>
      <c r="AM23" s="13">
        <v>2</v>
      </c>
      <c r="AN23" s="13">
        <v>2</v>
      </c>
      <c r="AO23" s="13">
        <v>3</v>
      </c>
      <c r="AP23" s="13">
        <v>1</v>
      </c>
      <c r="AQ23" s="13">
        <v>3</v>
      </c>
      <c r="AR23" s="13">
        <v>3</v>
      </c>
      <c r="AS23" s="13">
        <v>5</v>
      </c>
      <c r="AT23" s="25">
        <v>4</v>
      </c>
      <c r="BA23" s="9"/>
      <c r="BB23" s="10">
        <v>13</v>
      </c>
    </row>
    <row r="24" spans="1:54" ht="12.75" customHeight="1" x14ac:dyDescent="0.3">
      <c r="A24" s="132"/>
      <c r="B24" s="116">
        <v>46191</v>
      </c>
      <c r="C24" s="107">
        <v>0.54166666666666663</v>
      </c>
      <c r="D24" s="99" t="s">
        <v>82</v>
      </c>
      <c r="E24" s="125" t="s">
        <v>22</v>
      </c>
      <c r="F24" s="125" t="s">
        <v>37</v>
      </c>
      <c r="G24" s="126">
        <v>4</v>
      </c>
      <c r="H24" s="126">
        <v>1</v>
      </c>
      <c r="I24" s="123" t="str">
        <f t="shared" si="0"/>
        <v>L</v>
      </c>
      <c r="J24" s="27" t="s">
        <v>7</v>
      </c>
      <c r="K24" s="19" t="s">
        <v>7</v>
      </c>
      <c r="L24" s="19" t="s">
        <v>7</v>
      </c>
      <c r="M24" s="19" t="s">
        <v>7</v>
      </c>
      <c r="N24" s="19" t="s">
        <v>7</v>
      </c>
      <c r="O24" s="19" t="s">
        <v>7</v>
      </c>
      <c r="P24" s="19" t="s">
        <v>7</v>
      </c>
      <c r="Q24" s="19" t="s">
        <v>15</v>
      </c>
      <c r="R24" s="19" t="s">
        <v>7</v>
      </c>
      <c r="S24" s="19" t="s">
        <v>7</v>
      </c>
      <c r="T24" s="19" t="s">
        <v>7</v>
      </c>
      <c r="U24" s="19" t="s">
        <v>16</v>
      </c>
      <c r="V24" s="19" t="s">
        <v>7</v>
      </c>
      <c r="W24" s="19" t="s">
        <v>7</v>
      </c>
      <c r="X24" s="19" t="s">
        <v>7</v>
      </c>
      <c r="Y24" s="19" t="s">
        <v>7</v>
      </c>
      <c r="Z24" s="19" t="s">
        <v>7</v>
      </c>
      <c r="AA24" s="19" t="s">
        <v>7</v>
      </c>
      <c r="AB24" s="19" t="s">
        <v>16</v>
      </c>
      <c r="AC24" s="19" t="s">
        <v>7</v>
      </c>
      <c r="AD24" s="19" t="s">
        <v>7</v>
      </c>
      <c r="AE24" s="19" t="s">
        <v>16</v>
      </c>
      <c r="AF24" s="19" t="s">
        <v>7</v>
      </c>
      <c r="AG24" s="19" t="s">
        <v>7</v>
      </c>
      <c r="AH24" s="91" t="s">
        <v>7</v>
      </c>
      <c r="AI24" s="19" t="s">
        <v>7</v>
      </c>
      <c r="AJ24" s="19" t="s">
        <v>7</v>
      </c>
      <c r="AK24" s="19" t="s">
        <v>7</v>
      </c>
      <c r="AL24" s="19" t="s">
        <v>16</v>
      </c>
      <c r="AM24" s="19" t="s">
        <v>7</v>
      </c>
      <c r="AN24" s="19" t="s">
        <v>7</v>
      </c>
      <c r="AO24" s="19" t="s">
        <v>16</v>
      </c>
      <c r="AP24" s="19" t="s">
        <v>7</v>
      </c>
      <c r="AQ24" s="19" t="s">
        <v>16</v>
      </c>
      <c r="AR24" s="19" t="s">
        <v>7</v>
      </c>
      <c r="AS24" s="19" t="s">
        <v>7</v>
      </c>
      <c r="AT24" s="28" t="s">
        <v>7</v>
      </c>
      <c r="BA24" s="9"/>
      <c r="BB24" s="10">
        <v>14</v>
      </c>
    </row>
    <row r="25" spans="1:54" ht="12.75" customHeight="1" x14ac:dyDescent="0.3">
      <c r="A25" s="132"/>
      <c r="B25" s="108"/>
      <c r="C25" s="108"/>
      <c r="D25" s="100"/>
      <c r="E25" s="100"/>
      <c r="F25" s="100"/>
      <c r="G25" s="127"/>
      <c r="H25" s="127"/>
      <c r="I25" s="124"/>
      <c r="J25" s="27">
        <v>3</v>
      </c>
      <c r="K25" s="19">
        <v>3</v>
      </c>
      <c r="L25" s="19">
        <v>2</v>
      </c>
      <c r="M25" s="19">
        <v>3</v>
      </c>
      <c r="N25" s="19">
        <v>3</v>
      </c>
      <c r="O25" s="19">
        <v>3</v>
      </c>
      <c r="P25" s="19">
        <v>2</v>
      </c>
      <c r="Q25" s="19">
        <v>1</v>
      </c>
      <c r="R25" s="19">
        <v>3</v>
      </c>
      <c r="S25" s="19">
        <v>3</v>
      </c>
      <c r="T25" s="19">
        <v>3</v>
      </c>
      <c r="U25" s="19">
        <v>2</v>
      </c>
      <c r="V25" s="19">
        <v>3</v>
      </c>
      <c r="W25" s="19">
        <v>1</v>
      </c>
      <c r="X25" s="19">
        <v>3</v>
      </c>
      <c r="Y25" s="19">
        <v>2</v>
      </c>
      <c r="Z25" s="19">
        <v>4</v>
      </c>
      <c r="AA25" s="19">
        <v>3</v>
      </c>
      <c r="AB25" s="19">
        <v>4</v>
      </c>
      <c r="AC25" s="19">
        <v>3</v>
      </c>
      <c r="AD25" s="19">
        <v>2</v>
      </c>
      <c r="AE25" s="19">
        <v>4</v>
      </c>
      <c r="AF25" s="19">
        <v>2</v>
      </c>
      <c r="AG25" s="19">
        <v>1</v>
      </c>
      <c r="AH25" s="91">
        <v>2</v>
      </c>
      <c r="AI25" s="19">
        <v>2</v>
      </c>
      <c r="AJ25" s="19">
        <v>4</v>
      </c>
      <c r="AK25" s="19">
        <v>2</v>
      </c>
      <c r="AL25" s="19">
        <v>4</v>
      </c>
      <c r="AM25" s="19">
        <v>3</v>
      </c>
      <c r="AN25" s="19">
        <v>1</v>
      </c>
      <c r="AO25" s="19">
        <v>2</v>
      </c>
      <c r="AP25" s="19">
        <v>2</v>
      </c>
      <c r="AQ25" s="19">
        <v>2</v>
      </c>
      <c r="AR25" s="19">
        <v>2</v>
      </c>
      <c r="AS25" s="19">
        <v>2</v>
      </c>
      <c r="AT25" s="28">
        <v>4</v>
      </c>
      <c r="BA25" s="9"/>
      <c r="BB25" s="10">
        <v>15</v>
      </c>
    </row>
    <row r="26" spans="1:54" ht="12.75" customHeight="1" x14ac:dyDescent="0.3">
      <c r="A26" s="132"/>
      <c r="B26" s="116">
        <v>46191</v>
      </c>
      <c r="C26" s="107">
        <v>0.66666666666666663</v>
      </c>
      <c r="D26" s="99" t="s">
        <v>92</v>
      </c>
      <c r="E26" s="125" t="s">
        <v>35</v>
      </c>
      <c r="F26" s="125" t="s">
        <v>36</v>
      </c>
      <c r="G26" s="126">
        <v>6</v>
      </c>
      <c r="H26" s="126">
        <v>0</v>
      </c>
      <c r="I26" s="123" t="str">
        <f t="shared" si="0"/>
        <v>L</v>
      </c>
      <c r="J26" s="26" t="s">
        <v>7</v>
      </c>
      <c r="K26" s="13" t="s">
        <v>7</v>
      </c>
      <c r="L26" s="13" t="s">
        <v>7</v>
      </c>
      <c r="M26" s="13" t="s">
        <v>7</v>
      </c>
      <c r="N26" s="13" t="s">
        <v>7</v>
      </c>
      <c r="O26" s="13" t="s">
        <v>7</v>
      </c>
      <c r="P26" s="13" t="s">
        <v>7</v>
      </c>
      <c r="Q26" s="13" t="s">
        <v>7</v>
      </c>
      <c r="R26" s="13" t="s">
        <v>7</v>
      </c>
      <c r="S26" s="13" t="s">
        <v>7</v>
      </c>
      <c r="T26" s="13" t="s">
        <v>7</v>
      </c>
      <c r="U26" s="13" t="s">
        <v>7</v>
      </c>
      <c r="V26" s="13" t="s">
        <v>7</v>
      </c>
      <c r="W26" s="13" t="s">
        <v>7</v>
      </c>
      <c r="X26" s="13" t="s">
        <v>7</v>
      </c>
      <c r="Y26" s="13" t="s">
        <v>7</v>
      </c>
      <c r="Z26" s="13" t="s">
        <v>7</v>
      </c>
      <c r="AA26" s="13" t="s">
        <v>7</v>
      </c>
      <c r="AB26" s="13" t="s">
        <v>7</v>
      </c>
      <c r="AC26" s="13" t="s">
        <v>7</v>
      </c>
      <c r="AD26" s="13" t="s">
        <v>7</v>
      </c>
      <c r="AE26" s="13" t="s">
        <v>7</v>
      </c>
      <c r="AF26" s="13" t="s">
        <v>7</v>
      </c>
      <c r="AG26" s="13" t="s">
        <v>7</v>
      </c>
      <c r="AH26" s="89" t="s">
        <v>7</v>
      </c>
      <c r="AI26" s="13" t="s">
        <v>7</v>
      </c>
      <c r="AJ26" s="13" t="s">
        <v>7</v>
      </c>
      <c r="AK26" s="13" t="s">
        <v>7</v>
      </c>
      <c r="AL26" s="13" t="s">
        <v>7</v>
      </c>
      <c r="AM26" s="13" t="s">
        <v>7</v>
      </c>
      <c r="AN26" s="13" t="s">
        <v>7</v>
      </c>
      <c r="AO26" s="13" t="s">
        <v>7</v>
      </c>
      <c r="AP26" s="13" t="s">
        <v>7</v>
      </c>
      <c r="AQ26" s="13" t="s">
        <v>7</v>
      </c>
      <c r="AR26" s="13" t="s">
        <v>7</v>
      </c>
      <c r="AS26" s="13" t="s">
        <v>7</v>
      </c>
      <c r="AT26" s="25" t="s">
        <v>7</v>
      </c>
      <c r="BA26" s="9"/>
      <c r="BB26" s="10">
        <v>16</v>
      </c>
    </row>
    <row r="27" spans="1:54" ht="12.75" customHeight="1" x14ac:dyDescent="0.3">
      <c r="A27" s="132"/>
      <c r="B27" s="108"/>
      <c r="C27" s="108"/>
      <c r="D27" s="100"/>
      <c r="E27" s="100"/>
      <c r="F27" s="100"/>
      <c r="G27" s="127"/>
      <c r="H27" s="127"/>
      <c r="I27" s="124"/>
      <c r="J27" s="26">
        <v>2</v>
      </c>
      <c r="K27" s="13">
        <v>4</v>
      </c>
      <c r="L27" s="13">
        <v>2</v>
      </c>
      <c r="M27" s="13">
        <v>3</v>
      </c>
      <c r="N27" s="13">
        <v>2</v>
      </c>
      <c r="O27" s="13">
        <v>3</v>
      </c>
      <c r="P27" s="13">
        <v>2</v>
      </c>
      <c r="Q27" s="13">
        <v>2</v>
      </c>
      <c r="R27" s="13">
        <v>2</v>
      </c>
      <c r="S27" s="13">
        <v>2</v>
      </c>
      <c r="T27" s="13">
        <v>2</v>
      </c>
      <c r="U27" s="13">
        <v>2</v>
      </c>
      <c r="V27" s="13">
        <v>3</v>
      </c>
      <c r="W27" s="13">
        <v>3</v>
      </c>
      <c r="X27" s="13">
        <v>2</v>
      </c>
      <c r="Y27" s="13">
        <v>2</v>
      </c>
      <c r="Z27" s="13">
        <v>1</v>
      </c>
      <c r="AA27" s="13">
        <v>4</v>
      </c>
      <c r="AB27" s="13">
        <v>3</v>
      </c>
      <c r="AC27" s="13">
        <v>1</v>
      </c>
      <c r="AD27" s="13">
        <v>2</v>
      </c>
      <c r="AE27" s="13">
        <v>3</v>
      </c>
      <c r="AF27" s="13">
        <v>2</v>
      </c>
      <c r="AG27" s="13">
        <v>2</v>
      </c>
      <c r="AH27" s="89">
        <v>2</v>
      </c>
      <c r="AI27" s="13">
        <v>2</v>
      </c>
      <c r="AJ27" s="13">
        <v>1</v>
      </c>
      <c r="AK27" s="13">
        <v>3</v>
      </c>
      <c r="AL27" s="13">
        <v>3</v>
      </c>
      <c r="AM27" s="13">
        <v>2</v>
      </c>
      <c r="AN27" s="13">
        <v>2</v>
      </c>
      <c r="AO27" s="13">
        <v>2</v>
      </c>
      <c r="AP27" s="13">
        <v>3</v>
      </c>
      <c r="AQ27" s="13">
        <v>3</v>
      </c>
      <c r="AR27" s="13">
        <v>3</v>
      </c>
      <c r="AS27" s="13">
        <v>3</v>
      </c>
      <c r="AT27" s="25">
        <v>3</v>
      </c>
      <c r="BA27" s="9"/>
      <c r="BB27" s="10">
        <v>17</v>
      </c>
    </row>
    <row r="28" spans="1:54" ht="12.75" customHeight="1" x14ac:dyDescent="0.3">
      <c r="A28" s="132"/>
      <c r="B28" s="116">
        <v>46197</v>
      </c>
      <c r="C28" s="107">
        <v>0.54166666666666663</v>
      </c>
      <c r="D28" s="99" t="s">
        <v>92</v>
      </c>
      <c r="E28" s="125" t="s">
        <v>22</v>
      </c>
      <c r="F28" s="125" t="s">
        <v>35</v>
      </c>
      <c r="G28" s="126"/>
      <c r="H28" s="126"/>
      <c r="I28" s="123" t="str">
        <f t="shared" si="0"/>
        <v>-</v>
      </c>
      <c r="J28" s="27" t="s">
        <v>7</v>
      </c>
      <c r="K28" s="19" t="s">
        <v>16</v>
      </c>
      <c r="L28" s="19" t="s">
        <v>16</v>
      </c>
      <c r="M28" s="19" t="s">
        <v>7</v>
      </c>
      <c r="N28" s="19" t="s">
        <v>16</v>
      </c>
      <c r="O28" s="19" t="s">
        <v>7</v>
      </c>
      <c r="P28" s="19" t="s">
        <v>15</v>
      </c>
      <c r="Q28" s="19" t="s">
        <v>16</v>
      </c>
      <c r="R28" s="19" t="s">
        <v>15</v>
      </c>
      <c r="S28" s="19" t="s">
        <v>7</v>
      </c>
      <c r="T28" s="19" t="s">
        <v>16</v>
      </c>
      <c r="U28" s="19" t="s">
        <v>16</v>
      </c>
      <c r="V28" s="19" t="s">
        <v>16</v>
      </c>
      <c r="W28" s="19" t="s">
        <v>15</v>
      </c>
      <c r="X28" s="19" t="s">
        <v>16</v>
      </c>
      <c r="Y28" s="19" t="s">
        <v>16</v>
      </c>
      <c r="Z28" s="19" t="s">
        <v>7</v>
      </c>
      <c r="AA28" s="19" t="s">
        <v>16</v>
      </c>
      <c r="AB28" s="19" t="s">
        <v>16</v>
      </c>
      <c r="AC28" s="83" t="s">
        <v>7</v>
      </c>
      <c r="AD28" s="19" t="s">
        <v>16</v>
      </c>
      <c r="AE28" s="19" t="s">
        <v>7</v>
      </c>
      <c r="AF28" s="19" t="s">
        <v>16</v>
      </c>
      <c r="AG28" s="19" t="s">
        <v>16</v>
      </c>
      <c r="AH28" s="91" t="s">
        <v>16</v>
      </c>
      <c r="AI28" s="19" t="s">
        <v>7</v>
      </c>
      <c r="AJ28" s="19" t="s">
        <v>16</v>
      </c>
      <c r="AK28" s="19" t="s">
        <v>16</v>
      </c>
      <c r="AL28" s="19" t="s">
        <v>16</v>
      </c>
      <c r="AM28" s="19" t="s">
        <v>7</v>
      </c>
      <c r="AN28" s="19" t="s">
        <v>16</v>
      </c>
      <c r="AO28" s="19" t="s">
        <v>16</v>
      </c>
      <c r="AP28" s="19" t="s">
        <v>16</v>
      </c>
      <c r="AQ28" s="19" t="s">
        <v>7</v>
      </c>
      <c r="AR28" s="19" t="s">
        <v>16</v>
      </c>
      <c r="AS28" s="19" t="s">
        <v>16</v>
      </c>
      <c r="AT28" s="28" t="s">
        <v>7</v>
      </c>
      <c r="BA28" s="9"/>
      <c r="BB28" s="10">
        <v>18</v>
      </c>
    </row>
    <row r="29" spans="1:54" ht="12.75" customHeight="1" x14ac:dyDescent="0.3">
      <c r="A29" s="132"/>
      <c r="B29" s="108"/>
      <c r="C29" s="108"/>
      <c r="D29" s="100"/>
      <c r="E29" s="100"/>
      <c r="F29" s="100"/>
      <c r="G29" s="127"/>
      <c r="H29" s="127"/>
      <c r="I29" s="124"/>
      <c r="J29" s="27">
        <v>1</v>
      </c>
      <c r="K29" s="19">
        <v>4</v>
      </c>
      <c r="L29" s="19">
        <v>1</v>
      </c>
      <c r="M29" s="19">
        <v>1</v>
      </c>
      <c r="N29" s="19">
        <v>2</v>
      </c>
      <c r="O29" s="19">
        <v>3</v>
      </c>
      <c r="P29" s="19">
        <v>2</v>
      </c>
      <c r="Q29" s="19">
        <v>2</v>
      </c>
      <c r="R29" s="19">
        <v>3</v>
      </c>
      <c r="S29" s="19">
        <v>3</v>
      </c>
      <c r="T29" s="19">
        <v>2</v>
      </c>
      <c r="U29" s="19">
        <v>2</v>
      </c>
      <c r="V29" s="19">
        <v>2</v>
      </c>
      <c r="W29" s="19">
        <v>3</v>
      </c>
      <c r="X29" s="19">
        <v>2</v>
      </c>
      <c r="Y29" s="19">
        <v>2</v>
      </c>
      <c r="Z29" s="19">
        <v>3</v>
      </c>
      <c r="AA29" s="19">
        <v>2</v>
      </c>
      <c r="AB29" s="164">
        <v>2</v>
      </c>
      <c r="AC29" s="85">
        <v>2</v>
      </c>
      <c r="AD29" s="82">
        <v>2</v>
      </c>
      <c r="AE29" s="19">
        <v>5</v>
      </c>
      <c r="AF29" s="19">
        <v>2</v>
      </c>
      <c r="AG29" s="19">
        <v>2</v>
      </c>
      <c r="AH29" s="91">
        <v>2</v>
      </c>
      <c r="AI29" s="19">
        <v>3</v>
      </c>
      <c r="AJ29" s="19">
        <v>2</v>
      </c>
      <c r="AK29" s="19">
        <v>2</v>
      </c>
      <c r="AL29" s="19">
        <v>2</v>
      </c>
      <c r="AM29" s="19">
        <v>1</v>
      </c>
      <c r="AN29" s="19">
        <v>2</v>
      </c>
      <c r="AO29" s="19">
        <v>4</v>
      </c>
      <c r="AP29" s="19">
        <v>4</v>
      </c>
      <c r="AQ29" s="19">
        <v>2</v>
      </c>
      <c r="AR29" s="19">
        <v>4</v>
      </c>
      <c r="AS29" s="19">
        <v>2</v>
      </c>
      <c r="AT29" s="28">
        <v>3</v>
      </c>
      <c r="BA29" s="9"/>
      <c r="BB29" s="10">
        <v>19</v>
      </c>
    </row>
    <row r="30" spans="1:54" ht="12.75" customHeight="1" x14ac:dyDescent="0.3">
      <c r="A30" s="132"/>
      <c r="B30" s="116">
        <v>46197</v>
      </c>
      <c r="C30" s="107">
        <v>0.54166666666666663</v>
      </c>
      <c r="D30" s="99" t="s">
        <v>86</v>
      </c>
      <c r="E30" s="125" t="s">
        <v>37</v>
      </c>
      <c r="F30" s="125" t="s">
        <v>36</v>
      </c>
      <c r="G30" s="126"/>
      <c r="H30" s="126"/>
      <c r="I30" s="123" t="str">
        <f t="shared" si="0"/>
        <v>-</v>
      </c>
      <c r="J30" s="26" t="s">
        <v>7</v>
      </c>
      <c r="K30" s="13" t="s">
        <v>16</v>
      </c>
      <c r="L30" s="13" t="s">
        <v>16</v>
      </c>
      <c r="M30" s="13" t="s">
        <v>16</v>
      </c>
      <c r="N30" s="13" t="s">
        <v>16</v>
      </c>
      <c r="O30" s="13" t="s">
        <v>16</v>
      </c>
      <c r="P30" s="13" t="s">
        <v>7</v>
      </c>
      <c r="Q30" s="13" t="s">
        <v>16</v>
      </c>
      <c r="R30" s="13" t="s">
        <v>16</v>
      </c>
      <c r="S30" s="13" t="s">
        <v>7</v>
      </c>
      <c r="T30" s="13" t="s">
        <v>15</v>
      </c>
      <c r="U30" s="13" t="s">
        <v>7</v>
      </c>
      <c r="V30" s="13" t="s">
        <v>7</v>
      </c>
      <c r="W30" s="13" t="s">
        <v>16</v>
      </c>
      <c r="X30" s="13" t="s">
        <v>7</v>
      </c>
      <c r="Y30" s="13" t="s">
        <v>7</v>
      </c>
      <c r="Z30" s="13" t="s">
        <v>16</v>
      </c>
      <c r="AA30" s="13" t="s">
        <v>7</v>
      </c>
      <c r="AB30" s="13" t="s">
        <v>7</v>
      </c>
      <c r="AC30" s="84" t="s">
        <v>7</v>
      </c>
      <c r="AD30" s="13" t="s">
        <v>7</v>
      </c>
      <c r="AE30" s="13" t="s">
        <v>7</v>
      </c>
      <c r="AF30" s="13" t="s">
        <v>7</v>
      </c>
      <c r="AG30" s="13" t="s">
        <v>7</v>
      </c>
      <c r="AH30" s="89" t="s">
        <v>7</v>
      </c>
      <c r="AI30" s="13" t="s">
        <v>7</v>
      </c>
      <c r="AJ30" s="13" t="s">
        <v>16</v>
      </c>
      <c r="AK30" s="13" t="s">
        <v>7</v>
      </c>
      <c r="AL30" s="13" t="s">
        <v>7</v>
      </c>
      <c r="AM30" s="13" t="s">
        <v>7</v>
      </c>
      <c r="AN30" s="13" t="s">
        <v>7</v>
      </c>
      <c r="AO30" s="13" t="s">
        <v>7</v>
      </c>
      <c r="AP30" s="13" t="s">
        <v>7</v>
      </c>
      <c r="AQ30" s="13" t="s">
        <v>7</v>
      </c>
      <c r="AR30" s="13" t="s">
        <v>16</v>
      </c>
      <c r="AS30" s="13" t="s">
        <v>7</v>
      </c>
      <c r="AT30" s="25" t="s">
        <v>7</v>
      </c>
      <c r="BA30" s="11"/>
      <c r="BB30" s="12">
        <v>20</v>
      </c>
    </row>
    <row r="31" spans="1:54" ht="12.75" customHeight="1" x14ac:dyDescent="0.3">
      <c r="A31" s="133"/>
      <c r="B31" s="108"/>
      <c r="C31" s="108"/>
      <c r="D31" s="100"/>
      <c r="E31" s="100"/>
      <c r="F31" s="100"/>
      <c r="G31" s="127"/>
      <c r="H31" s="127"/>
      <c r="I31" s="124"/>
      <c r="J31" s="26">
        <v>1</v>
      </c>
      <c r="K31" s="13">
        <v>2</v>
      </c>
      <c r="L31" s="13">
        <v>1</v>
      </c>
      <c r="M31" s="13">
        <v>0</v>
      </c>
      <c r="N31" s="13">
        <v>2</v>
      </c>
      <c r="O31" s="13">
        <v>2</v>
      </c>
      <c r="P31" s="13">
        <v>2</v>
      </c>
      <c r="Q31" s="13">
        <v>4</v>
      </c>
      <c r="R31" s="13">
        <v>2</v>
      </c>
      <c r="S31" s="13">
        <v>2</v>
      </c>
      <c r="T31" s="13">
        <v>2</v>
      </c>
      <c r="U31" s="13">
        <v>2</v>
      </c>
      <c r="V31" s="13">
        <v>1</v>
      </c>
      <c r="W31" s="13">
        <v>2</v>
      </c>
      <c r="X31" s="13">
        <v>3</v>
      </c>
      <c r="Y31" s="13">
        <v>3</v>
      </c>
      <c r="Z31" s="13">
        <v>2</v>
      </c>
      <c r="AA31" s="13">
        <v>3</v>
      </c>
      <c r="AB31" s="13">
        <v>1</v>
      </c>
      <c r="AC31" s="13">
        <v>1</v>
      </c>
      <c r="AD31" s="13">
        <v>3</v>
      </c>
      <c r="AE31" s="13">
        <v>3</v>
      </c>
      <c r="AF31" s="13">
        <v>1</v>
      </c>
      <c r="AG31" s="13">
        <v>3</v>
      </c>
      <c r="AH31" s="89">
        <v>3</v>
      </c>
      <c r="AI31" s="13">
        <v>1</v>
      </c>
      <c r="AJ31" s="13">
        <v>0</v>
      </c>
      <c r="AK31" s="13">
        <v>3</v>
      </c>
      <c r="AL31" s="13">
        <v>1</v>
      </c>
      <c r="AM31" s="13">
        <v>1</v>
      </c>
      <c r="AN31" s="13">
        <v>1</v>
      </c>
      <c r="AO31" s="13">
        <v>3</v>
      </c>
      <c r="AP31" s="13">
        <v>1</v>
      </c>
      <c r="AQ31" s="13">
        <v>3</v>
      </c>
      <c r="AR31" s="13">
        <v>0</v>
      </c>
      <c r="AS31" s="13">
        <v>3</v>
      </c>
      <c r="AT31" s="25">
        <v>3</v>
      </c>
    </row>
    <row r="32" spans="1:54" ht="12.75" customHeight="1" x14ac:dyDescent="0.3">
      <c r="A32" s="120" t="s">
        <v>3</v>
      </c>
      <c r="B32" s="117">
        <v>46186</v>
      </c>
      <c r="C32" s="105">
        <v>0.66666666666666663</v>
      </c>
      <c r="D32" s="97" t="s">
        <v>81</v>
      </c>
      <c r="E32" s="130" t="s">
        <v>38</v>
      </c>
      <c r="F32" s="140" t="s">
        <v>40</v>
      </c>
      <c r="G32" s="128">
        <v>1</v>
      </c>
      <c r="H32" s="128">
        <v>1</v>
      </c>
      <c r="I32" s="134" t="str">
        <f t="shared" si="0"/>
        <v>E</v>
      </c>
      <c r="J32" s="23" t="s">
        <v>16</v>
      </c>
      <c r="K32" s="18" t="s">
        <v>7</v>
      </c>
      <c r="L32" s="18" t="s">
        <v>7</v>
      </c>
      <c r="M32" s="18" t="s">
        <v>16</v>
      </c>
      <c r="N32" s="18" t="s">
        <v>7</v>
      </c>
      <c r="O32" s="18" t="s">
        <v>7</v>
      </c>
      <c r="P32" s="18" t="s">
        <v>7</v>
      </c>
      <c r="Q32" s="18" t="s">
        <v>16</v>
      </c>
      <c r="R32" s="18" t="s">
        <v>7</v>
      </c>
      <c r="S32" s="18" t="s">
        <v>7</v>
      </c>
      <c r="T32" s="18" t="s">
        <v>7</v>
      </c>
      <c r="U32" s="18" t="s">
        <v>7</v>
      </c>
      <c r="V32" s="18" t="s">
        <v>7</v>
      </c>
      <c r="W32" s="18" t="s">
        <v>7</v>
      </c>
      <c r="X32" s="18" t="s">
        <v>7</v>
      </c>
      <c r="Y32" s="18" t="s">
        <v>7</v>
      </c>
      <c r="Z32" s="18" t="s">
        <v>15</v>
      </c>
      <c r="AA32" s="18" t="s">
        <v>7</v>
      </c>
      <c r="AB32" s="18" t="s">
        <v>7</v>
      </c>
      <c r="AC32" s="18" t="s">
        <v>7</v>
      </c>
      <c r="AD32" s="18" t="s">
        <v>7</v>
      </c>
      <c r="AE32" s="18" t="s">
        <v>7</v>
      </c>
      <c r="AF32" s="18" t="s">
        <v>7</v>
      </c>
      <c r="AG32" s="18" t="s">
        <v>7</v>
      </c>
      <c r="AH32" s="87" t="s">
        <v>7</v>
      </c>
      <c r="AI32" s="18" t="s">
        <v>7</v>
      </c>
      <c r="AJ32" s="18" t="s">
        <v>15</v>
      </c>
      <c r="AK32" s="18" t="s">
        <v>7</v>
      </c>
      <c r="AL32" s="18" t="s">
        <v>7</v>
      </c>
      <c r="AM32" s="18" t="s">
        <v>7</v>
      </c>
      <c r="AN32" s="18" t="s">
        <v>7</v>
      </c>
      <c r="AO32" s="18" t="s">
        <v>16</v>
      </c>
      <c r="AP32" s="18" t="s">
        <v>15</v>
      </c>
      <c r="AQ32" s="18" t="s">
        <v>16</v>
      </c>
      <c r="AR32" s="18" t="s">
        <v>15</v>
      </c>
      <c r="AS32" s="18" t="s">
        <v>7</v>
      </c>
      <c r="AT32" s="24" t="s">
        <v>7</v>
      </c>
    </row>
    <row r="33" spans="1:46" ht="12.75" customHeight="1" x14ac:dyDescent="0.3">
      <c r="A33" s="121"/>
      <c r="B33" s="106"/>
      <c r="C33" s="106"/>
      <c r="D33" s="98"/>
      <c r="E33" s="98"/>
      <c r="F33" s="102"/>
      <c r="G33" s="129"/>
      <c r="H33" s="129"/>
      <c r="I33" s="135"/>
      <c r="J33" s="23">
        <v>2</v>
      </c>
      <c r="K33" s="18">
        <v>4</v>
      </c>
      <c r="L33" s="18">
        <v>2</v>
      </c>
      <c r="M33" s="18">
        <v>4</v>
      </c>
      <c r="N33" s="18">
        <v>3</v>
      </c>
      <c r="O33" s="18">
        <v>3</v>
      </c>
      <c r="P33" s="18">
        <v>3</v>
      </c>
      <c r="Q33" s="18">
        <v>2</v>
      </c>
      <c r="R33" s="18">
        <v>3</v>
      </c>
      <c r="S33" s="18">
        <v>4</v>
      </c>
      <c r="T33" s="18">
        <v>4</v>
      </c>
      <c r="U33" s="18">
        <v>2</v>
      </c>
      <c r="V33" s="18">
        <v>3</v>
      </c>
      <c r="W33" s="18">
        <v>3</v>
      </c>
      <c r="X33" s="18">
        <v>4</v>
      </c>
      <c r="Y33" s="18">
        <v>2</v>
      </c>
      <c r="Z33" s="18">
        <v>3</v>
      </c>
      <c r="AA33" s="18">
        <v>3</v>
      </c>
      <c r="AB33" s="18">
        <v>2</v>
      </c>
      <c r="AC33" s="18">
        <v>3</v>
      </c>
      <c r="AD33" s="18">
        <v>3</v>
      </c>
      <c r="AE33" s="18">
        <v>5</v>
      </c>
      <c r="AF33" s="18">
        <v>3</v>
      </c>
      <c r="AG33" s="18">
        <v>3</v>
      </c>
      <c r="AH33" s="87">
        <v>3</v>
      </c>
      <c r="AI33" s="18">
        <v>3</v>
      </c>
      <c r="AJ33" s="18">
        <v>3</v>
      </c>
      <c r="AK33" s="18">
        <v>3</v>
      </c>
      <c r="AL33" s="18">
        <v>1</v>
      </c>
      <c r="AM33" s="18">
        <v>1</v>
      </c>
      <c r="AN33" s="18">
        <v>3</v>
      </c>
      <c r="AO33" s="18">
        <v>4</v>
      </c>
      <c r="AP33" s="18">
        <v>3</v>
      </c>
      <c r="AQ33" s="18">
        <v>2</v>
      </c>
      <c r="AR33" s="18">
        <v>3</v>
      </c>
      <c r="AS33" s="18">
        <v>4</v>
      </c>
      <c r="AT33" s="24">
        <v>5</v>
      </c>
    </row>
    <row r="34" spans="1:46" ht="12.75" customHeight="1" x14ac:dyDescent="0.3">
      <c r="A34" s="121"/>
      <c r="B34" s="117">
        <v>46186</v>
      </c>
      <c r="C34" s="105">
        <v>0.79166666666666663</v>
      </c>
      <c r="D34" s="97" t="s">
        <v>80</v>
      </c>
      <c r="E34" s="130" t="s">
        <v>39</v>
      </c>
      <c r="F34" s="130" t="s">
        <v>27</v>
      </c>
      <c r="G34" s="128">
        <v>0</v>
      </c>
      <c r="H34" s="128">
        <v>1</v>
      </c>
      <c r="I34" s="134" t="str">
        <f t="shared" si="0"/>
        <v>V</v>
      </c>
      <c r="J34" s="26" t="s">
        <v>15</v>
      </c>
      <c r="K34" s="13" t="s">
        <v>15</v>
      </c>
      <c r="L34" s="13" t="s">
        <v>16</v>
      </c>
      <c r="M34" s="13" t="s">
        <v>15</v>
      </c>
      <c r="N34" s="13" t="s">
        <v>16</v>
      </c>
      <c r="O34" s="13" t="s">
        <v>15</v>
      </c>
      <c r="P34" s="13" t="s">
        <v>15</v>
      </c>
      <c r="Q34" s="13" t="s">
        <v>15</v>
      </c>
      <c r="R34" s="13" t="s">
        <v>15</v>
      </c>
      <c r="S34" s="13" t="s">
        <v>15</v>
      </c>
      <c r="T34" s="13" t="s">
        <v>15</v>
      </c>
      <c r="U34" s="13" t="s">
        <v>15</v>
      </c>
      <c r="V34" s="13" t="s">
        <v>15</v>
      </c>
      <c r="W34" s="13" t="s">
        <v>16</v>
      </c>
      <c r="X34" s="13" t="s">
        <v>15</v>
      </c>
      <c r="Y34" s="13" t="s">
        <v>15</v>
      </c>
      <c r="Z34" s="13" t="s">
        <v>15</v>
      </c>
      <c r="AA34" s="13" t="s">
        <v>15</v>
      </c>
      <c r="AB34" s="13" t="s">
        <v>15</v>
      </c>
      <c r="AC34" s="13" t="s">
        <v>15</v>
      </c>
      <c r="AD34" s="13" t="s">
        <v>15</v>
      </c>
      <c r="AE34" s="13" t="s">
        <v>15</v>
      </c>
      <c r="AF34" s="13" t="s">
        <v>15</v>
      </c>
      <c r="AG34" s="13" t="s">
        <v>15</v>
      </c>
      <c r="AH34" s="89" t="s">
        <v>15</v>
      </c>
      <c r="AI34" s="13" t="s">
        <v>15</v>
      </c>
      <c r="AJ34" s="13" t="s">
        <v>15</v>
      </c>
      <c r="AK34" s="13" t="s">
        <v>15</v>
      </c>
      <c r="AL34" s="13" t="s">
        <v>15</v>
      </c>
      <c r="AM34" s="13" t="s">
        <v>7</v>
      </c>
      <c r="AN34" s="13" t="s">
        <v>15</v>
      </c>
      <c r="AO34" s="13" t="s">
        <v>15</v>
      </c>
      <c r="AP34" s="13" t="s">
        <v>16</v>
      </c>
      <c r="AQ34" s="13" t="s">
        <v>15</v>
      </c>
      <c r="AR34" s="13" t="s">
        <v>15</v>
      </c>
      <c r="AS34" s="13" t="s">
        <v>15</v>
      </c>
      <c r="AT34" s="25" t="s">
        <v>15</v>
      </c>
    </row>
    <row r="35" spans="1:46" ht="12.75" customHeight="1" x14ac:dyDescent="0.3">
      <c r="A35" s="121"/>
      <c r="B35" s="106"/>
      <c r="C35" s="106"/>
      <c r="D35" s="98"/>
      <c r="E35" s="98"/>
      <c r="F35" s="98"/>
      <c r="G35" s="129"/>
      <c r="H35" s="129"/>
      <c r="I35" s="135"/>
      <c r="J35" s="26">
        <v>2</v>
      </c>
      <c r="K35" s="13">
        <v>2</v>
      </c>
      <c r="L35" s="13">
        <v>2</v>
      </c>
      <c r="M35" s="13">
        <v>3</v>
      </c>
      <c r="N35" s="13">
        <v>2</v>
      </c>
      <c r="O35" s="13">
        <v>3</v>
      </c>
      <c r="P35" s="13">
        <v>2</v>
      </c>
      <c r="Q35" s="13">
        <v>4</v>
      </c>
      <c r="R35" s="13">
        <v>3</v>
      </c>
      <c r="S35" s="13">
        <v>2</v>
      </c>
      <c r="T35" s="13">
        <v>3</v>
      </c>
      <c r="U35" s="13">
        <v>2</v>
      </c>
      <c r="V35" s="13">
        <v>3</v>
      </c>
      <c r="W35" s="13">
        <v>2</v>
      </c>
      <c r="X35" s="13">
        <v>2</v>
      </c>
      <c r="Y35" s="13">
        <v>3</v>
      </c>
      <c r="Z35" s="13">
        <v>1</v>
      </c>
      <c r="AA35" s="13">
        <v>3</v>
      </c>
      <c r="AB35" s="13">
        <v>2</v>
      </c>
      <c r="AC35" s="13">
        <v>3</v>
      </c>
      <c r="AD35" s="13">
        <v>3</v>
      </c>
      <c r="AE35" s="13">
        <v>4</v>
      </c>
      <c r="AF35" s="13">
        <v>1</v>
      </c>
      <c r="AG35" s="13">
        <v>2</v>
      </c>
      <c r="AH35" s="89">
        <v>2</v>
      </c>
      <c r="AI35" s="13">
        <v>2</v>
      </c>
      <c r="AJ35" s="13">
        <v>2</v>
      </c>
      <c r="AK35" s="13">
        <v>2</v>
      </c>
      <c r="AL35" s="13">
        <v>2</v>
      </c>
      <c r="AM35" s="13">
        <v>1</v>
      </c>
      <c r="AN35" s="13">
        <v>2</v>
      </c>
      <c r="AO35" s="13">
        <v>3</v>
      </c>
      <c r="AP35" s="13">
        <v>4</v>
      </c>
      <c r="AQ35" s="13">
        <v>3</v>
      </c>
      <c r="AR35" s="13">
        <v>4</v>
      </c>
      <c r="AS35" s="13">
        <v>3</v>
      </c>
      <c r="AT35" s="25">
        <v>4</v>
      </c>
    </row>
    <row r="36" spans="1:46" ht="12.75" customHeight="1" x14ac:dyDescent="0.3">
      <c r="A36" s="121"/>
      <c r="B36" s="117">
        <v>46192</v>
      </c>
      <c r="C36" s="105">
        <v>0.77083333333333337</v>
      </c>
      <c r="D36" s="97" t="s">
        <v>94</v>
      </c>
      <c r="E36" s="130" t="s">
        <v>38</v>
      </c>
      <c r="F36" s="140" t="s">
        <v>39</v>
      </c>
      <c r="G36" s="128">
        <v>3</v>
      </c>
      <c r="H36" s="128">
        <v>0</v>
      </c>
      <c r="I36" s="134" t="str">
        <f t="shared" si="0"/>
        <v>L</v>
      </c>
      <c r="J36" s="23" t="s">
        <v>7</v>
      </c>
      <c r="K36" s="18" t="s">
        <v>7</v>
      </c>
      <c r="L36" s="18" t="s">
        <v>7</v>
      </c>
      <c r="M36" s="18" t="s">
        <v>7</v>
      </c>
      <c r="N36" s="18" t="s">
        <v>7</v>
      </c>
      <c r="O36" s="18" t="s">
        <v>7</v>
      </c>
      <c r="P36" s="18" t="s">
        <v>7</v>
      </c>
      <c r="Q36" s="18" t="s">
        <v>7</v>
      </c>
      <c r="R36" s="18" t="s">
        <v>7</v>
      </c>
      <c r="S36" s="18" t="s">
        <v>7</v>
      </c>
      <c r="T36" s="18" t="s">
        <v>7</v>
      </c>
      <c r="U36" s="18" t="s">
        <v>7</v>
      </c>
      <c r="V36" s="18" t="s">
        <v>7</v>
      </c>
      <c r="W36" s="18" t="s">
        <v>7</v>
      </c>
      <c r="X36" s="18" t="s">
        <v>7</v>
      </c>
      <c r="Y36" s="18" t="s">
        <v>7</v>
      </c>
      <c r="Z36" s="18" t="s">
        <v>7</v>
      </c>
      <c r="AA36" s="18" t="s">
        <v>7</v>
      </c>
      <c r="AB36" s="18" t="s">
        <v>7</v>
      </c>
      <c r="AC36" s="18" t="s">
        <v>7</v>
      </c>
      <c r="AD36" s="18" t="s">
        <v>7</v>
      </c>
      <c r="AE36" s="18" t="s">
        <v>7</v>
      </c>
      <c r="AF36" s="18" t="s">
        <v>7</v>
      </c>
      <c r="AG36" s="18" t="s">
        <v>7</v>
      </c>
      <c r="AH36" s="87" t="s">
        <v>7</v>
      </c>
      <c r="AI36" s="18" t="s">
        <v>7</v>
      </c>
      <c r="AJ36" s="18" t="s">
        <v>7</v>
      </c>
      <c r="AK36" s="18" t="s">
        <v>7</v>
      </c>
      <c r="AL36" s="18" t="s">
        <v>7</v>
      </c>
      <c r="AM36" s="18" t="s">
        <v>7</v>
      </c>
      <c r="AN36" s="18" t="s">
        <v>7</v>
      </c>
      <c r="AO36" s="18" t="s">
        <v>7</v>
      </c>
      <c r="AP36" s="18" t="s">
        <v>7</v>
      </c>
      <c r="AQ36" s="18" t="s">
        <v>7</v>
      </c>
      <c r="AR36" s="18" t="s">
        <v>7</v>
      </c>
      <c r="AS36" s="18" t="s">
        <v>7</v>
      </c>
      <c r="AT36" s="24" t="s">
        <v>7</v>
      </c>
    </row>
    <row r="37" spans="1:46" ht="12.75" customHeight="1" x14ac:dyDescent="0.3">
      <c r="A37" s="121"/>
      <c r="B37" s="106"/>
      <c r="C37" s="106"/>
      <c r="D37" s="98"/>
      <c r="E37" s="98"/>
      <c r="F37" s="102"/>
      <c r="G37" s="129"/>
      <c r="H37" s="129"/>
      <c r="I37" s="135"/>
      <c r="J37" s="23">
        <v>4</v>
      </c>
      <c r="K37" s="18">
        <v>5</v>
      </c>
      <c r="L37" s="18">
        <v>3</v>
      </c>
      <c r="M37" s="18">
        <v>4</v>
      </c>
      <c r="N37" s="18">
        <v>4</v>
      </c>
      <c r="O37" s="18">
        <v>3</v>
      </c>
      <c r="P37" s="18">
        <v>4</v>
      </c>
      <c r="Q37" s="18">
        <v>5</v>
      </c>
      <c r="R37" s="18">
        <v>4</v>
      </c>
      <c r="S37" s="18">
        <v>5</v>
      </c>
      <c r="T37" s="18">
        <v>3</v>
      </c>
      <c r="U37" s="18">
        <v>3</v>
      </c>
      <c r="V37" s="18">
        <v>3</v>
      </c>
      <c r="W37" s="18">
        <v>3</v>
      </c>
      <c r="X37" s="18">
        <v>4</v>
      </c>
      <c r="Y37" s="18">
        <v>4</v>
      </c>
      <c r="Z37" s="18">
        <v>5</v>
      </c>
      <c r="AA37" s="18">
        <v>4</v>
      </c>
      <c r="AB37" s="18">
        <v>3</v>
      </c>
      <c r="AC37" s="18">
        <v>4</v>
      </c>
      <c r="AD37" s="18">
        <v>4</v>
      </c>
      <c r="AE37" s="18">
        <v>4</v>
      </c>
      <c r="AF37" s="18">
        <v>3</v>
      </c>
      <c r="AG37" s="18">
        <v>5</v>
      </c>
      <c r="AH37" s="87">
        <v>4</v>
      </c>
      <c r="AI37" s="18">
        <v>4</v>
      </c>
      <c r="AJ37" s="18">
        <v>4</v>
      </c>
      <c r="AK37" s="18">
        <v>4</v>
      </c>
      <c r="AL37" s="18">
        <v>3</v>
      </c>
      <c r="AM37" s="18">
        <v>4</v>
      </c>
      <c r="AN37" s="18">
        <v>3</v>
      </c>
      <c r="AO37" s="18">
        <v>5</v>
      </c>
      <c r="AP37" s="18">
        <v>5</v>
      </c>
      <c r="AQ37" s="18">
        <v>4</v>
      </c>
      <c r="AR37" s="18">
        <v>2</v>
      </c>
      <c r="AS37" s="18">
        <v>5</v>
      </c>
      <c r="AT37" s="24">
        <v>6</v>
      </c>
    </row>
    <row r="38" spans="1:46" ht="12.75" customHeight="1" x14ac:dyDescent="0.3">
      <c r="A38" s="121"/>
      <c r="B38" s="117">
        <v>46192</v>
      </c>
      <c r="C38" s="105">
        <v>0.66666666666666663</v>
      </c>
      <c r="D38" s="97" t="s">
        <v>80</v>
      </c>
      <c r="E38" s="130" t="s">
        <v>27</v>
      </c>
      <c r="F38" s="130" t="s">
        <v>40</v>
      </c>
      <c r="G38" s="128">
        <v>0</v>
      </c>
      <c r="H38" s="128">
        <v>1</v>
      </c>
      <c r="I38" s="134" t="str">
        <f t="shared" si="0"/>
        <v>V</v>
      </c>
      <c r="J38" s="26" t="s">
        <v>15</v>
      </c>
      <c r="K38" s="13" t="s">
        <v>15</v>
      </c>
      <c r="L38" s="13" t="s">
        <v>15</v>
      </c>
      <c r="M38" s="13" t="s">
        <v>15</v>
      </c>
      <c r="N38" s="13" t="s">
        <v>15</v>
      </c>
      <c r="O38" s="13" t="s">
        <v>15</v>
      </c>
      <c r="P38" s="13" t="s">
        <v>15</v>
      </c>
      <c r="Q38" s="13" t="s">
        <v>15</v>
      </c>
      <c r="R38" s="13" t="s">
        <v>15</v>
      </c>
      <c r="S38" s="13" t="s">
        <v>15</v>
      </c>
      <c r="T38" s="13" t="s">
        <v>15</v>
      </c>
      <c r="U38" s="13" t="s">
        <v>15</v>
      </c>
      <c r="V38" s="13" t="s">
        <v>15</v>
      </c>
      <c r="W38" s="13" t="s">
        <v>16</v>
      </c>
      <c r="X38" s="13" t="s">
        <v>16</v>
      </c>
      <c r="Y38" s="13" t="s">
        <v>16</v>
      </c>
      <c r="Z38" s="13" t="s">
        <v>15</v>
      </c>
      <c r="AA38" s="13" t="s">
        <v>15</v>
      </c>
      <c r="AB38" s="13" t="s">
        <v>15</v>
      </c>
      <c r="AC38" s="13" t="s">
        <v>7</v>
      </c>
      <c r="AD38" s="13" t="s">
        <v>16</v>
      </c>
      <c r="AE38" s="13" t="s">
        <v>15</v>
      </c>
      <c r="AF38" s="13" t="s">
        <v>15</v>
      </c>
      <c r="AG38" s="13" t="s">
        <v>15</v>
      </c>
      <c r="AH38" s="89" t="s">
        <v>16</v>
      </c>
      <c r="AI38" s="13" t="s">
        <v>15</v>
      </c>
      <c r="AJ38" s="13" t="s">
        <v>16</v>
      </c>
      <c r="AK38" s="13" t="s">
        <v>16</v>
      </c>
      <c r="AL38" s="13" t="s">
        <v>15</v>
      </c>
      <c r="AM38" s="13" t="s">
        <v>15</v>
      </c>
      <c r="AN38" s="13" t="s">
        <v>15</v>
      </c>
      <c r="AO38" s="13" t="s">
        <v>15</v>
      </c>
      <c r="AP38" s="13" t="s">
        <v>15</v>
      </c>
      <c r="AQ38" s="13" t="s">
        <v>16</v>
      </c>
      <c r="AR38" s="13" t="s">
        <v>15</v>
      </c>
      <c r="AS38" s="13" t="s">
        <v>16</v>
      </c>
      <c r="AT38" s="25" t="s">
        <v>7</v>
      </c>
    </row>
    <row r="39" spans="1:46" ht="12.75" customHeight="1" x14ac:dyDescent="0.3">
      <c r="A39" s="121"/>
      <c r="B39" s="106"/>
      <c r="C39" s="106"/>
      <c r="D39" s="98"/>
      <c r="E39" s="98"/>
      <c r="F39" s="98"/>
      <c r="G39" s="129"/>
      <c r="H39" s="129"/>
      <c r="I39" s="135"/>
      <c r="J39" s="26">
        <v>1</v>
      </c>
      <c r="K39" s="13">
        <v>3</v>
      </c>
      <c r="L39" s="13">
        <v>2</v>
      </c>
      <c r="M39" s="13">
        <v>3</v>
      </c>
      <c r="N39" s="13">
        <v>1</v>
      </c>
      <c r="O39" s="13">
        <v>3</v>
      </c>
      <c r="P39" s="13">
        <v>3</v>
      </c>
      <c r="Q39" s="13">
        <v>1</v>
      </c>
      <c r="R39" s="13">
        <v>3</v>
      </c>
      <c r="S39" s="13">
        <v>3</v>
      </c>
      <c r="T39" s="13">
        <v>2</v>
      </c>
      <c r="U39" s="13">
        <v>2</v>
      </c>
      <c r="V39" s="13">
        <v>1</v>
      </c>
      <c r="W39" s="13">
        <v>2</v>
      </c>
      <c r="X39" s="13">
        <v>2</v>
      </c>
      <c r="Y39" s="13">
        <v>2</v>
      </c>
      <c r="Z39" s="13">
        <v>3</v>
      </c>
      <c r="AA39" s="13">
        <v>3</v>
      </c>
      <c r="AB39" s="13">
        <v>3</v>
      </c>
      <c r="AC39" s="13">
        <v>2</v>
      </c>
      <c r="AD39" s="13">
        <v>2</v>
      </c>
      <c r="AE39" s="13">
        <v>2</v>
      </c>
      <c r="AF39" s="13">
        <v>2</v>
      </c>
      <c r="AG39" s="13">
        <v>4</v>
      </c>
      <c r="AH39" s="89">
        <v>2</v>
      </c>
      <c r="AI39" s="13">
        <v>3</v>
      </c>
      <c r="AJ39" s="13">
        <v>2</v>
      </c>
      <c r="AK39" s="13">
        <v>2</v>
      </c>
      <c r="AL39" s="13">
        <v>3</v>
      </c>
      <c r="AM39" s="13">
        <v>1</v>
      </c>
      <c r="AN39" s="13">
        <v>2</v>
      </c>
      <c r="AO39" s="13">
        <v>3</v>
      </c>
      <c r="AP39" s="13">
        <v>3</v>
      </c>
      <c r="AQ39" s="13">
        <v>2</v>
      </c>
      <c r="AR39" s="13">
        <v>1</v>
      </c>
      <c r="AS39" s="13">
        <v>2</v>
      </c>
      <c r="AT39" s="25">
        <v>4</v>
      </c>
    </row>
    <row r="40" spans="1:46" ht="12.75" customHeight="1" x14ac:dyDescent="0.3">
      <c r="A40" s="121"/>
      <c r="B40" s="119">
        <v>46197</v>
      </c>
      <c r="C40" s="113">
        <v>0.66666666666666663</v>
      </c>
      <c r="D40" s="101" t="s">
        <v>91</v>
      </c>
      <c r="E40" s="140" t="s">
        <v>27</v>
      </c>
      <c r="F40" s="130" t="s">
        <v>38</v>
      </c>
      <c r="G40" s="128"/>
      <c r="H40" s="128"/>
      <c r="I40" s="134" t="str">
        <f t="shared" si="0"/>
        <v>-</v>
      </c>
      <c r="J40" s="23" t="s">
        <v>15</v>
      </c>
      <c r="K40" s="18" t="s">
        <v>15</v>
      </c>
      <c r="L40" s="18" t="s">
        <v>15</v>
      </c>
      <c r="M40" s="18" t="s">
        <v>15</v>
      </c>
      <c r="N40" s="18" t="s">
        <v>16</v>
      </c>
      <c r="O40" s="18" t="s">
        <v>15</v>
      </c>
      <c r="P40" s="18" t="s">
        <v>15</v>
      </c>
      <c r="Q40" s="18" t="s">
        <v>15</v>
      </c>
      <c r="R40" s="18" t="s">
        <v>15</v>
      </c>
      <c r="S40" s="18" t="s">
        <v>15</v>
      </c>
      <c r="T40" s="18" t="s">
        <v>15</v>
      </c>
      <c r="U40" s="18" t="s">
        <v>15</v>
      </c>
      <c r="V40" s="18" t="s">
        <v>15</v>
      </c>
      <c r="W40" s="18" t="s">
        <v>15</v>
      </c>
      <c r="X40" s="18" t="s">
        <v>15</v>
      </c>
      <c r="Y40" s="18" t="s">
        <v>15</v>
      </c>
      <c r="Z40" s="18" t="s">
        <v>15</v>
      </c>
      <c r="AA40" s="18" t="s">
        <v>15</v>
      </c>
      <c r="AB40" s="18" t="s">
        <v>15</v>
      </c>
      <c r="AC40" s="18" t="s">
        <v>15</v>
      </c>
      <c r="AD40" s="18" t="s">
        <v>15</v>
      </c>
      <c r="AE40" s="18" t="s">
        <v>15</v>
      </c>
      <c r="AF40" s="18" t="s">
        <v>15</v>
      </c>
      <c r="AG40" s="18" t="s">
        <v>15</v>
      </c>
      <c r="AH40" s="87" t="s">
        <v>15</v>
      </c>
      <c r="AI40" s="18" t="s">
        <v>15</v>
      </c>
      <c r="AJ40" s="18" t="s">
        <v>15</v>
      </c>
      <c r="AK40" s="18" t="s">
        <v>15</v>
      </c>
      <c r="AL40" s="18" t="s">
        <v>15</v>
      </c>
      <c r="AM40" s="18" t="s">
        <v>15</v>
      </c>
      <c r="AN40" s="18" t="s">
        <v>15</v>
      </c>
      <c r="AO40" s="18" t="s">
        <v>15</v>
      </c>
      <c r="AP40" s="18" t="s">
        <v>15</v>
      </c>
      <c r="AQ40" s="18" t="s">
        <v>15</v>
      </c>
      <c r="AR40" s="18" t="s">
        <v>15</v>
      </c>
      <c r="AS40" s="18" t="s">
        <v>15</v>
      </c>
      <c r="AT40" s="24" t="s">
        <v>15</v>
      </c>
    </row>
    <row r="41" spans="1:46" ht="12.75" customHeight="1" x14ac:dyDescent="0.3">
      <c r="A41" s="121"/>
      <c r="B41" s="114"/>
      <c r="C41" s="114"/>
      <c r="D41" s="102"/>
      <c r="E41" s="102"/>
      <c r="F41" s="98"/>
      <c r="G41" s="129"/>
      <c r="H41" s="129"/>
      <c r="I41" s="135"/>
      <c r="J41" s="23">
        <v>2</v>
      </c>
      <c r="K41" s="18">
        <v>2</v>
      </c>
      <c r="L41" s="18">
        <v>2</v>
      </c>
      <c r="M41" s="18">
        <v>2</v>
      </c>
      <c r="N41" s="18">
        <v>2</v>
      </c>
      <c r="O41" s="18">
        <v>3</v>
      </c>
      <c r="P41" s="18">
        <v>3</v>
      </c>
      <c r="Q41" s="18">
        <v>2</v>
      </c>
      <c r="R41" s="18">
        <v>3</v>
      </c>
      <c r="S41" s="18">
        <v>3</v>
      </c>
      <c r="T41" s="18">
        <v>3</v>
      </c>
      <c r="U41" s="18">
        <v>2</v>
      </c>
      <c r="V41" s="18">
        <v>1</v>
      </c>
      <c r="W41" s="18">
        <v>4</v>
      </c>
      <c r="X41" s="18">
        <v>4</v>
      </c>
      <c r="Y41" s="18">
        <v>3</v>
      </c>
      <c r="Z41" s="18">
        <v>3</v>
      </c>
      <c r="AA41" s="18">
        <v>2</v>
      </c>
      <c r="AB41" s="18">
        <v>2</v>
      </c>
      <c r="AC41" s="18">
        <v>3</v>
      </c>
      <c r="AD41" s="18">
        <v>4</v>
      </c>
      <c r="AE41" s="18">
        <v>2</v>
      </c>
      <c r="AF41" s="18">
        <v>3</v>
      </c>
      <c r="AG41" s="18">
        <v>2</v>
      </c>
      <c r="AH41" s="87">
        <v>3</v>
      </c>
      <c r="AI41" s="18">
        <v>2</v>
      </c>
      <c r="AJ41" s="18">
        <v>3</v>
      </c>
      <c r="AK41" s="18">
        <v>3</v>
      </c>
      <c r="AL41" s="18">
        <v>2</v>
      </c>
      <c r="AM41" s="18">
        <v>3</v>
      </c>
      <c r="AN41" s="18">
        <v>3</v>
      </c>
      <c r="AO41" s="18">
        <v>3</v>
      </c>
      <c r="AP41" s="18">
        <v>3</v>
      </c>
      <c r="AQ41" s="18">
        <v>3</v>
      </c>
      <c r="AR41" s="18">
        <v>2</v>
      </c>
      <c r="AS41" s="18">
        <v>2</v>
      </c>
      <c r="AT41" s="24">
        <v>5</v>
      </c>
    </row>
    <row r="42" spans="1:46" ht="12.75" customHeight="1" x14ac:dyDescent="0.3">
      <c r="A42" s="121"/>
      <c r="B42" s="117">
        <v>46197</v>
      </c>
      <c r="C42" s="105">
        <v>0.66666666666666663</v>
      </c>
      <c r="D42" s="97" t="s">
        <v>90</v>
      </c>
      <c r="E42" s="130" t="s">
        <v>40</v>
      </c>
      <c r="F42" s="130" t="s">
        <v>39</v>
      </c>
      <c r="G42" s="128"/>
      <c r="H42" s="128"/>
      <c r="I42" s="134" t="str">
        <f t="shared" si="0"/>
        <v>-</v>
      </c>
      <c r="J42" s="26" t="s">
        <v>7</v>
      </c>
      <c r="K42" s="13" t="s">
        <v>7</v>
      </c>
      <c r="L42" s="13" t="s">
        <v>7</v>
      </c>
      <c r="M42" s="13" t="s">
        <v>7</v>
      </c>
      <c r="N42" s="13" t="s">
        <v>7</v>
      </c>
      <c r="O42" s="13" t="s">
        <v>7</v>
      </c>
      <c r="P42" s="13" t="s">
        <v>7</v>
      </c>
      <c r="Q42" s="13" t="s">
        <v>7</v>
      </c>
      <c r="R42" s="13" t="s">
        <v>7</v>
      </c>
      <c r="S42" s="13" t="s">
        <v>7</v>
      </c>
      <c r="T42" s="13" t="s">
        <v>7</v>
      </c>
      <c r="U42" s="13" t="s">
        <v>7</v>
      </c>
      <c r="V42" s="13" t="s">
        <v>7</v>
      </c>
      <c r="W42" s="13" t="s">
        <v>7</v>
      </c>
      <c r="X42" s="13" t="s">
        <v>7</v>
      </c>
      <c r="Y42" s="13" t="s">
        <v>7</v>
      </c>
      <c r="Z42" s="13" t="s">
        <v>7</v>
      </c>
      <c r="AA42" s="13" t="s">
        <v>7</v>
      </c>
      <c r="AB42" s="13" t="s">
        <v>7</v>
      </c>
      <c r="AC42" s="13" t="s">
        <v>7</v>
      </c>
      <c r="AD42" s="13" t="s">
        <v>7</v>
      </c>
      <c r="AE42" s="13" t="s">
        <v>7</v>
      </c>
      <c r="AF42" s="13" t="s">
        <v>7</v>
      </c>
      <c r="AG42" s="13" t="s">
        <v>7</v>
      </c>
      <c r="AH42" s="89" t="s">
        <v>7</v>
      </c>
      <c r="AI42" s="13" t="s">
        <v>7</v>
      </c>
      <c r="AJ42" s="13" t="s">
        <v>7</v>
      </c>
      <c r="AK42" s="13" t="s">
        <v>7</v>
      </c>
      <c r="AL42" s="13" t="s">
        <v>7</v>
      </c>
      <c r="AM42" s="13" t="s">
        <v>7</v>
      </c>
      <c r="AN42" s="13" t="s">
        <v>7</v>
      </c>
      <c r="AO42" s="13" t="s">
        <v>7</v>
      </c>
      <c r="AP42" s="13" t="s">
        <v>7</v>
      </c>
      <c r="AQ42" s="13" t="s">
        <v>7</v>
      </c>
      <c r="AR42" s="13" t="s">
        <v>7</v>
      </c>
      <c r="AS42" s="13" t="s">
        <v>16</v>
      </c>
      <c r="AT42" s="25" t="s">
        <v>7</v>
      </c>
    </row>
    <row r="43" spans="1:46" ht="12.75" customHeight="1" x14ac:dyDescent="0.3">
      <c r="A43" s="122"/>
      <c r="B43" s="106"/>
      <c r="C43" s="106"/>
      <c r="D43" s="98"/>
      <c r="E43" s="98"/>
      <c r="F43" s="98"/>
      <c r="G43" s="129"/>
      <c r="H43" s="129"/>
      <c r="I43" s="135"/>
      <c r="J43" s="26">
        <v>2</v>
      </c>
      <c r="K43" s="13">
        <v>4</v>
      </c>
      <c r="L43" s="13">
        <v>3</v>
      </c>
      <c r="M43" s="13">
        <v>5</v>
      </c>
      <c r="N43" s="13">
        <v>2</v>
      </c>
      <c r="O43" s="13">
        <v>3</v>
      </c>
      <c r="P43" s="13">
        <v>2</v>
      </c>
      <c r="Q43" s="13">
        <v>3</v>
      </c>
      <c r="R43" s="13">
        <v>2</v>
      </c>
      <c r="S43" s="13">
        <v>3</v>
      </c>
      <c r="T43" s="13">
        <v>4</v>
      </c>
      <c r="U43" s="13">
        <v>3</v>
      </c>
      <c r="V43" s="13">
        <v>3</v>
      </c>
      <c r="W43" s="13">
        <v>3</v>
      </c>
      <c r="X43" s="13">
        <v>2</v>
      </c>
      <c r="Y43" s="13">
        <v>3</v>
      </c>
      <c r="Z43" s="13">
        <v>5</v>
      </c>
      <c r="AA43" s="13">
        <v>3</v>
      </c>
      <c r="AB43" s="13">
        <v>3</v>
      </c>
      <c r="AC43" s="13">
        <v>4</v>
      </c>
      <c r="AD43" s="13">
        <v>3</v>
      </c>
      <c r="AE43" s="13">
        <v>4</v>
      </c>
      <c r="AF43" s="13">
        <v>3</v>
      </c>
      <c r="AG43" s="13">
        <v>4</v>
      </c>
      <c r="AH43" s="89">
        <v>2</v>
      </c>
      <c r="AI43" s="13">
        <v>3</v>
      </c>
      <c r="AJ43" s="13">
        <v>3</v>
      </c>
      <c r="AK43" s="13">
        <v>3</v>
      </c>
      <c r="AL43" s="13">
        <v>3</v>
      </c>
      <c r="AM43" s="13">
        <v>1</v>
      </c>
      <c r="AN43" s="13">
        <v>3</v>
      </c>
      <c r="AO43" s="13">
        <v>3</v>
      </c>
      <c r="AP43" s="13">
        <v>4</v>
      </c>
      <c r="AQ43" s="13">
        <v>3</v>
      </c>
      <c r="AR43" s="13">
        <v>2</v>
      </c>
      <c r="AS43" s="13">
        <v>4</v>
      </c>
      <c r="AT43" s="25">
        <v>3</v>
      </c>
    </row>
    <row r="44" spans="1:46" ht="12.75" customHeight="1" x14ac:dyDescent="0.3">
      <c r="A44" s="131" t="s">
        <v>4</v>
      </c>
      <c r="B44" s="116">
        <v>46185</v>
      </c>
      <c r="C44" s="107">
        <v>0.79166666666666663</v>
      </c>
      <c r="D44" s="99" t="s">
        <v>82</v>
      </c>
      <c r="E44" s="125" t="s">
        <v>41</v>
      </c>
      <c r="F44" s="125" t="s">
        <v>43</v>
      </c>
      <c r="G44" s="126">
        <v>4</v>
      </c>
      <c r="H44" s="126">
        <v>1</v>
      </c>
      <c r="I44" s="123" t="str">
        <f t="shared" si="0"/>
        <v>L</v>
      </c>
      <c r="J44" s="27" t="s">
        <v>7</v>
      </c>
      <c r="K44" s="19" t="s">
        <v>7</v>
      </c>
      <c r="L44" s="19" t="s">
        <v>16</v>
      </c>
      <c r="M44" s="19" t="s">
        <v>7</v>
      </c>
      <c r="N44" s="19" t="s">
        <v>7</v>
      </c>
      <c r="O44" s="19" t="s">
        <v>16</v>
      </c>
      <c r="P44" s="19" t="s">
        <v>7</v>
      </c>
      <c r="Q44" s="19" t="s">
        <v>16</v>
      </c>
      <c r="R44" s="19" t="s">
        <v>7</v>
      </c>
      <c r="S44" s="19" t="s">
        <v>7</v>
      </c>
      <c r="T44" s="19" t="s">
        <v>16</v>
      </c>
      <c r="U44" s="19" t="s">
        <v>7</v>
      </c>
      <c r="V44" s="19" t="s">
        <v>7</v>
      </c>
      <c r="W44" s="19" t="s">
        <v>7</v>
      </c>
      <c r="X44" s="19" t="s">
        <v>7</v>
      </c>
      <c r="Y44" s="19" t="s">
        <v>7</v>
      </c>
      <c r="Z44" s="19" t="s">
        <v>7</v>
      </c>
      <c r="AA44" s="19" t="s">
        <v>16</v>
      </c>
      <c r="AB44" s="19" t="s">
        <v>15</v>
      </c>
      <c r="AC44" s="19" t="s">
        <v>7</v>
      </c>
      <c r="AD44" s="19" t="s">
        <v>7</v>
      </c>
      <c r="AE44" s="19" t="s">
        <v>15</v>
      </c>
      <c r="AF44" s="19" t="s">
        <v>7</v>
      </c>
      <c r="AG44" s="19" t="s">
        <v>7</v>
      </c>
      <c r="AH44" s="91" t="s">
        <v>7</v>
      </c>
      <c r="AI44" s="19" t="s">
        <v>7</v>
      </c>
      <c r="AJ44" s="19" t="s">
        <v>7</v>
      </c>
      <c r="AK44" s="19" t="s">
        <v>7</v>
      </c>
      <c r="AL44" s="19" t="s">
        <v>15</v>
      </c>
      <c r="AM44" s="19" t="s">
        <v>16</v>
      </c>
      <c r="AN44" s="19" t="s">
        <v>15</v>
      </c>
      <c r="AO44" s="19" t="s">
        <v>7</v>
      </c>
      <c r="AP44" s="19" t="s">
        <v>7</v>
      </c>
      <c r="AQ44" s="19" t="s">
        <v>16</v>
      </c>
      <c r="AR44" s="19" t="s">
        <v>16</v>
      </c>
      <c r="AS44" s="19" t="s">
        <v>15</v>
      </c>
      <c r="AT44" s="28" t="s">
        <v>7</v>
      </c>
    </row>
    <row r="45" spans="1:46" ht="12.75" customHeight="1" x14ac:dyDescent="0.3">
      <c r="A45" s="132"/>
      <c r="B45" s="108"/>
      <c r="C45" s="108"/>
      <c r="D45" s="100"/>
      <c r="E45" s="100"/>
      <c r="F45" s="100"/>
      <c r="G45" s="127"/>
      <c r="H45" s="127"/>
      <c r="I45" s="124"/>
      <c r="J45" s="27">
        <v>2</v>
      </c>
      <c r="K45" s="19">
        <v>3</v>
      </c>
      <c r="L45" s="19">
        <v>2</v>
      </c>
      <c r="M45" s="19">
        <v>1</v>
      </c>
      <c r="N45" s="19">
        <v>3</v>
      </c>
      <c r="O45" s="19">
        <v>4</v>
      </c>
      <c r="P45" s="19">
        <v>3</v>
      </c>
      <c r="Q45" s="19">
        <v>2</v>
      </c>
      <c r="R45" s="19">
        <v>3</v>
      </c>
      <c r="S45" s="19">
        <v>2</v>
      </c>
      <c r="T45" s="19">
        <v>2</v>
      </c>
      <c r="U45" s="19">
        <v>2</v>
      </c>
      <c r="V45" s="19">
        <v>3</v>
      </c>
      <c r="W45" s="19">
        <v>4</v>
      </c>
      <c r="X45" s="19">
        <v>3</v>
      </c>
      <c r="Y45" s="19">
        <v>3</v>
      </c>
      <c r="Z45" s="19">
        <v>3</v>
      </c>
      <c r="AA45" s="19">
        <v>2</v>
      </c>
      <c r="AB45" s="19">
        <v>3</v>
      </c>
      <c r="AC45" s="19">
        <v>2</v>
      </c>
      <c r="AD45" s="19">
        <v>3</v>
      </c>
      <c r="AE45" s="19">
        <v>3</v>
      </c>
      <c r="AF45" s="19">
        <v>2</v>
      </c>
      <c r="AG45" s="19">
        <v>2</v>
      </c>
      <c r="AH45" s="91">
        <v>2</v>
      </c>
      <c r="AI45" s="19">
        <v>3</v>
      </c>
      <c r="AJ45" s="19">
        <v>3</v>
      </c>
      <c r="AK45" s="19">
        <v>3</v>
      </c>
      <c r="AL45" s="19">
        <v>3</v>
      </c>
      <c r="AM45" s="19">
        <v>2</v>
      </c>
      <c r="AN45" s="19">
        <v>3</v>
      </c>
      <c r="AO45" s="19">
        <v>4</v>
      </c>
      <c r="AP45" s="19">
        <v>5</v>
      </c>
      <c r="AQ45" s="19">
        <v>2</v>
      </c>
      <c r="AR45" s="19">
        <v>4</v>
      </c>
      <c r="AS45" s="19">
        <v>3</v>
      </c>
      <c r="AT45" s="28">
        <v>3</v>
      </c>
    </row>
    <row r="46" spans="1:46" ht="12.75" customHeight="1" x14ac:dyDescent="0.3">
      <c r="A46" s="132"/>
      <c r="B46" s="116">
        <v>46186</v>
      </c>
      <c r="C46" s="107">
        <v>0.91666666666666663</v>
      </c>
      <c r="D46" s="99" t="s">
        <v>92</v>
      </c>
      <c r="E46" s="125" t="s">
        <v>42</v>
      </c>
      <c r="F46" s="139" t="s">
        <v>30</v>
      </c>
      <c r="G46" s="126">
        <v>2</v>
      </c>
      <c r="H46" s="126">
        <v>0</v>
      </c>
      <c r="I46" s="123" t="str">
        <f t="shared" si="0"/>
        <v>L</v>
      </c>
      <c r="J46" s="26" t="s">
        <v>15</v>
      </c>
      <c r="K46" s="13" t="s">
        <v>16</v>
      </c>
      <c r="L46" s="13" t="s">
        <v>7</v>
      </c>
      <c r="M46" s="13" t="s">
        <v>15</v>
      </c>
      <c r="N46" s="13" t="s">
        <v>15</v>
      </c>
      <c r="O46" s="13" t="s">
        <v>15</v>
      </c>
      <c r="P46" s="13" t="s">
        <v>15</v>
      </c>
      <c r="Q46" s="13" t="s">
        <v>15</v>
      </c>
      <c r="R46" s="13" t="s">
        <v>16</v>
      </c>
      <c r="S46" s="13" t="s">
        <v>15</v>
      </c>
      <c r="T46" s="13" t="s">
        <v>16</v>
      </c>
      <c r="U46" s="13" t="s">
        <v>15</v>
      </c>
      <c r="V46" s="13" t="s">
        <v>15</v>
      </c>
      <c r="W46" s="13" t="s">
        <v>7</v>
      </c>
      <c r="X46" s="13" t="s">
        <v>16</v>
      </c>
      <c r="Y46" s="13" t="s">
        <v>16</v>
      </c>
      <c r="Z46" s="13" t="s">
        <v>16</v>
      </c>
      <c r="AA46" s="13" t="s">
        <v>15</v>
      </c>
      <c r="AB46" s="13" t="s">
        <v>16</v>
      </c>
      <c r="AC46" s="13" t="s">
        <v>15</v>
      </c>
      <c r="AD46" s="13" t="s">
        <v>15</v>
      </c>
      <c r="AE46" s="13" t="s">
        <v>15</v>
      </c>
      <c r="AF46" s="13" t="s">
        <v>15</v>
      </c>
      <c r="AG46" s="13" t="s">
        <v>16</v>
      </c>
      <c r="AH46" s="89" t="s">
        <v>16</v>
      </c>
      <c r="AI46" s="13" t="s">
        <v>15</v>
      </c>
      <c r="AJ46" s="13" t="s">
        <v>15</v>
      </c>
      <c r="AK46" s="13" t="s">
        <v>15</v>
      </c>
      <c r="AL46" s="13" t="s">
        <v>16</v>
      </c>
      <c r="AM46" s="13" t="s">
        <v>15</v>
      </c>
      <c r="AN46" s="13" t="s">
        <v>15</v>
      </c>
      <c r="AO46" s="13" t="s">
        <v>15</v>
      </c>
      <c r="AP46" s="13" t="s">
        <v>15</v>
      </c>
      <c r="AQ46" s="13" t="s">
        <v>15</v>
      </c>
      <c r="AR46" s="13" t="s">
        <v>15</v>
      </c>
      <c r="AS46" s="13" t="s">
        <v>7</v>
      </c>
      <c r="AT46" s="25" t="s">
        <v>15</v>
      </c>
    </row>
    <row r="47" spans="1:46" ht="12.75" customHeight="1" x14ac:dyDescent="0.3">
      <c r="A47" s="132"/>
      <c r="B47" s="108"/>
      <c r="C47" s="108"/>
      <c r="D47" s="100"/>
      <c r="E47" s="100"/>
      <c r="F47" s="104"/>
      <c r="G47" s="127"/>
      <c r="H47" s="127"/>
      <c r="I47" s="124"/>
      <c r="J47" s="26">
        <v>2</v>
      </c>
      <c r="K47" s="13">
        <v>2</v>
      </c>
      <c r="L47" s="13">
        <v>2</v>
      </c>
      <c r="M47" s="13">
        <v>2</v>
      </c>
      <c r="N47" s="13">
        <v>3</v>
      </c>
      <c r="O47" s="13">
        <v>3</v>
      </c>
      <c r="P47" s="13">
        <v>3</v>
      </c>
      <c r="Q47" s="13">
        <v>2</v>
      </c>
      <c r="R47" s="13">
        <v>2</v>
      </c>
      <c r="S47" s="13">
        <v>1</v>
      </c>
      <c r="T47" s="13">
        <v>4</v>
      </c>
      <c r="U47" s="13">
        <v>1</v>
      </c>
      <c r="V47" s="13">
        <v>3</v>
      </c>
      <c r="W47" s="13">
        <v>3</v>
      </c>
      <c r="X47" s="13">
        <v>2</v>
      </c>
      <c r="Y47" s="13">
        <v>2</v>
      </c>
      <c r="Z47" s="13">
        <v>2</v>
      </c>
      <c r="AA47" s="13">
        <v>3</v>
      </c>
      <c r="AB47" s="13">
        <v>2</v>
      </c>
      <c r="AC47" s="13">
        <v>2</v>
      </c>
      <c r="AD47" s="13">
        <v>3</v>
      </c>
      <c r="AE47" s="13">
        <v>4</v>
      </c>
      <c r="AF47" s="13">
        <v>3</v>
      </c>
      <c r="AG47" s="13">
        <v>2</v>
      </c>
      <c r="AH47" s="89">
        <v>2</v>
      </c>
      <c r="AI47" s="13">
        <v>3</v>
      </c>
      <c r="AJ47" s="13">
        <v>3</v>
      </c>
      <c r="AK47" s="13">
        <v>2</v>
      </c>
      <c r="AL47" s="13">
        <v>0</v>
      </c>
      <c r="AM47" s="13">
        <v>3</v>
      </c>
      <c r="AN47" s="13">
        <v>3</v>
      </c>
      <c r="AO47" s="13">
        <v>3</v>
      </c>
      <c r="AP47" s="13">
        <v>3</v>
      </c>
      <c r="AQ47" s="13">
        <v>3</v>
      </c>
      <c r="AR47" s="13">
        <v>3</v>
      </c>
      <c r="AS47" s="13">
        <v>3</v>
      </c>
      <c r="AT47" s="25">
        <v>3</v>
      </c>
    </row>
    <row r="48" spans="1:46" ht="12.75" customHeight="1" x14ac:dyDescent="0.3">
      <c r="A48" s="132"/>
      <c r="B48" s="116">
        <v>46192</v>
      </c>
      <c r="C48" s="107">
        <v>0.875</v>
      </c>
      <c r="D48" s="99" t="s">
        <v>85</v>
      </c>
      <c r="E48" s="125" t="s">
        <v>30</v>
      </c>
      <c r="F48" s="139" t="s">
        <v>44</v>
      </c>
      <c r="G48" s="126">
        <v>0</v>
      </c>
      <c r="H48" s="126">
        <v>1</v>
      </c>
      <c r="I48" s="123" t="str">
        <f t="shared" si="0"/>
        <v>V</v>
      </c>
      <c r="J48" s="27" t="s">
        <v>7</v>
      </c>
      <c r="K48" s="19" t="s">
        <v>15</v>
      </c>
      <c r="L48" s="19" t="s">
        <v>15</v>
      </c>
      <c r="M48" s="19" t="s">
        <v>16</v>
      </c>
      <c r="N48" s="19" t="s">
        <v>7</v>
      </c>
      <c r="O48" s="19" t="s">
        <v>16</v>
      </c>
      <c r="P48" s="19" t="s">
        <v>7</v>
      </c>
      <c r="Q48" s="19" t="s">
        <v>16</v>
      </c>
      <c r="R48" s="19" t="s">
        <v>16</v>
      </c>
      <c r="S48" s="19" t="s">
        <v>16</v>
      </c>
      <c r="T48" s="19" t="s">
        <v>15</v>
      </c>
      <c r="U48" s="19" t="s">
        <v>15</v>
      </c>
      <c r="V48" s="19" t="s">
        <v>7</v>
      </c>
      <c r="W48" s="19" t="s">
        <v>16</v>
      </c>
      <c r="X48" s="19" t="s">
        <v>7</v>
      </c>
      <c r="Y48" s="19" t="s">
        <v>7</v>
      </c>
      <c r="Z48" s="19" t="s">
        <v>16</v>
      </c>
      <c r="AA48" s="19" t="s">
        <v>15</v>
      </c>
      <c r="AB48" s="19" t="s">
        <v>16</v>
      </c>
      <c r="AC48" s="19" t="s">
        <v>7</v>
      </c>
      <c r="AD48" s="19" t="s">
        <v>7</v>
      </c>
      <c r="AE48" s="19" t="s">
        <v>16</v>
      </c>
      <c r="AF48" s="19" t="s">
        <v>16</v>
      </c>
      <c r="AG48" s="19" t="s">
        <v>16</v>
      </c>
      <c r="AH48" s="91" t="s">
        <v>7</v>
      </c>
      <c r="AI48" s="19" t="s">
        <v>7</v>
      </c>
      <c r="AJ48" s="19" t="s">
        <v>16</v>
      </c>
      <c r="AK48" s="19" t="s">
        <v>7</v>
      </c>
      <c r="AL48" s="19" t="s">
        <v>16</v>
      </c>
      <c r="AM48" s="19" t="s">
        <v>7</v>
      </c>
      <c r="AN48" s="19" t="s">
        <v>7</v>
      </c>
      <c r="AO48" s="19" t="s">
        <v>7</v>
      </c>
      <c r="AP48" s="19" t="s">
        <v>7</v>
      </c>
      <c r="AQ48" s="19" t="s">
        <v>7</v>
      </c>
      <c r="AR48" s="19" t="s">
        <v>7</v>
      </c>
      <c r="AS48" s="19" t="s">
        <v>15</v>
      </c>
      <c r="AT48" s="28" t="s">
        <v>16</v>
      </c>
    </row>
    <row r="49" spans="1:46" ht="12.75" customHeight="1" x14ac:dyDescent="0.3">
      <c r="A49" s="132"/>
      <c r="B49" s="108"/>
      <c r="C49" s="108"/>
      <c r="D49" s="100"/>
      <c r="E49" s="100"/>
      <c r="F49" s="104"/>
      <c r="G49" s="127"/>
      <c r="H49" s="127"/>
      <c r="I49" s="124"/>
      <c r="J49" s="27">
        <v>3</v>
      </c>
      <c r="K49" s="19">
        <v>1</v>
      </c>
      <c r="L49" s="19">
        <v>2</v>
      </c>
      <c r="M49" s="19">
        <v>2</v>
      </c>
      <c r="N49" s="19">
        <v>1</v>
      </c>
      <c r="O49" s="19">
        <v>2</v>
      </c>
      <c r="P49" s="19">
        <v>2</v>
      </c>
      <c r="Q49" s="19">
        <v>2</v>
      </c>
      <c r="R49" s="19">
        <v>0</v>
      </c>
      <c r="S49" s="19">
        <v>2</v>
      </c>
      <c r="T49" s="19">
        <v>1</v>
      </c>
      <c r="U49" s="19">
        <v>2</v>
      </c>
      <c r="V49" s="19">
        <v>1</v>
      </c>
      <c r="W49" s="19">
        <v>2</v>
      </c>
      <c r="X49" s="19">
        <v>3</v>
      </c>
      <c r="Y49" s="19">
        <v>3</v>
      </c>
      <c r="Z49" s="19">
        <v>2</v>
      </c>
      <c r="AA49" s="19">
        <v>2</v>
      </c>
      <c r="AB49" s="19">
        <v>2</v>
      </c>
      <c r="AC49" s="19">
        <v>2</v>
      </c>
      <c r="AD49" s="19">
        <v>3</v>
      </c>
      <c r="AE49" s="19">
        <v>2</v>
      </c>
      <c r="AF49" s="19">
        <v>1</v>
      </c>
      <c r="AG49" s="19">
        <v>2</v>
      </c>
      <c r="AH49" s="91">
        <v>2</v>
      </c>
      <c r="AI49" s="19">
        <v>3</v>
      </c>
      <c r="AJ49" s="19">
        <v>2</v>
      </c>
      <c r="AK49" s="19">
        <v>2</v>
      </c>
      <c r="AL49" s="19">
        <v>2</v>
      </c>
      <c r="AM49" s="19">
        <v>2</v>
      </c>
      <c r="AN49" s="19">
        <v>2</v>
      </c>
      <c r="AO49" s="19">
        <v>3</v>
      </c>
      <c r="AP49" s="19">
        <v>3</v>
      </c>
      <c r="AQ49" s="19">
        <v>1</v>
      </c>
      <c r="AR49" s="19">
        <v>2</v>
      </c>
      <c r="AS49" s="19">
        <v>2</v>
      </c>
      <c r="AT49" s="28">
        <v>2</v>
      </c>
    </row>
    <row r="50" spans="1:46" ht="12.75" customHeight="1" x14ac:dyDescent="0.3">
      <c r="A50" s="132"/>
      <c r="B50" s="116">
        <v>46192</v>
      </c>
      <c r="C50" s="107">
        <v>0.54166666666666663</v>
      </c>
      <c r="D50" s="99" t="s">
        <v>86</v>
      </c>
      <c r="E50" s="125" t="s">
        <v>41</v>
      </c>
      <c r="F50" s="125" t="s">
        <v>42</v>
      </c>
      <c r="G50" s="126">
        <v>2</v>
      </c>
      <c r="H50" s="126">
        <v>0</v>
      </c>
      <c r="I50" s="123" t="str">
        <f t="shared" si="0"/>
        <v>L</v>
      </c>
      <c r="J50" s="26" t="s">
        <v>7</v>
      </c>
      <c r="K50" s="13" t="s">
        <v>7</v>
      </c>
      <c r="L50" s="13" t="s">
        <v>7</v>
      </c>
      <c r="M50" s="13" t="s">
        <v>7</v>
      </c>
      <c r="N50" s="13" t="s">
        <v>7</v>
      </c>
      <c r="O50" s="13" t="s">
        <v>7</v>
      </c>
      <c r="P50" s="13" t="s">
        <v>7</v>
      </c>
      <c r="Q50" s="13" t="s">
        <v>7</v>
      </c>
      <c r="R50" s="13" t="s">
        <v>7</v>
      </c>
      <c r="S50" s="13" t="s">
        <v>7</v>
      </c>
      <c r="T50" s="13" t="s">
        <v>7</v>
      </c>
      <c r="U50" s="13" t="s">
        <v>7</v>
      </c>
      <c r="V50" s="13" t="s">
        <v>7</v>
      </c>
      <c r="W50" s="13" t="s">
        <v>7</v>
      </c>
      <c r="X50" s="13" t="s">
        <v>7</v>
      </c>
      <c r="Y50" s="13" t="s">
        <v>7</v>
      </c>
      <c r="Z50" s="13" t="s">
        <v>7</v>
      </c>
      <c r="AA50" s="13" t="s">
        <v>7</v>
      </c>
      <c r="AB50" s="13" t="s">
        <v>7</v>
      </c>
      <c r="AC50" s="13" t="s">
        <v>7</v>
      </c>
      <c r="AD50" s="13" t="s">
        <v>7</v>
      </c>
      <c r="AE50" s="13" t="s">
        <v>7</v>
      </c>
      <c r="AF50" s="13" t="s">
        <v>7</v>
      </c>
      <c r="AG50" s="13" t="s">
        <v>7</v>
      </c>
      <c r="AH50" s="89" t="s">
        <v>7</v>
      </c>
      <c r="AI50" s="13" t="s">
        <v>7</v>
      </c>
      <c r="AJ50" s="13" t="s">
        <v>16</v>
      </c>
      <c r="AK50" s="13" t="s">
        <v>7</v>
      </c>
      <c r="AL50" s="13" t="s">
        <v>7</v>
      </c>
      <c r="AM50" s="13" t="s">
        <v>16</v>
      </c>
      <c r="AN50" s="13" t="s">
        <v>7</v>
      </c>
      <c r="AO50" s="13" t="s">
        <v>7</v>
      </c>
      <c r="AP50" s="13" t="s">
        <v>7</v>
      </c>
      <c r="AQ50" s="13" t="s">
        <v>7</v>
      </c>
      <c r="AR50" s="13" t="s">
        <v>7</v>
      </c>
      <c r="AS50" s="13" t="s">
        <v>16</v>
      </c>
      <c r="AT50" s="25" t="s">
        <v>7</v>
      </c>
    </row>
    <row r="51" spans="1:46" ht="12.75" customHeight="1" x14ac:dyDescent="0.3">
      <c r="A51" s="132"/>
      <c r="B51" s="108"/>
      <c r="C51" s="108"/>
      <c r="D51" s="100"/>
      <c r="E51" s="100"/>
      <c r="F51" s="100"/>
      <c r="G51" s="127"/>
      <c r="H51" s="127"/>
      <c r="I51" s="124"/>
      <c r="J51" s="26">
        <v>2</v>
      </c>
      <c r="K51" s="13">
        <v>2</v>
      </c>
      <c r="L51" s="13">
        <v>2</v>
      </c>
      <c r="M51" s="13">
        <v>3</v>
      </c>
      <c r="N51" s="13">
        <v>2</v>
      </c>
      <c r="O51" s="13">
        <v>3</v>
      </c>
      <c r="P51" s="13">
        <v>3</v>
      </c>
      <c r="Q51" s="13">
        <v>1</v>
      </c>
      <c r="R51" s="13">
        <v>2</v>
      </c>
      <c r="S51" s="13">
        <v>2</v>
      </c>
      <c r="T51" s="13">
        <v>3</v>
      </c>
      <c r="U51" s="13">
        <v>2</v>
      </c>
      <c r="V51" s="13">
        <v>2</v>
      </c>
      <c r="W51" s="13">
        <v>3</v>
      </c>
      <c r="X51" s="13">
        <v>3</v>
      </c>
      <c r="Y51" s="13">
        <v>2</v>
      </c>
      <c r="Z51" s="13">
        <v>3</v>
      </c>
      <c r="AA51" s="13">
        <v>3</v>
      </c>
      <c r="AB51" s="13">
        <v>2</v>
      </c>
      <c r="AC51" s="13">
        <v>1</v>
      </c>
      <c r="AD51" s="13">
        <v>2</v>
      </c>
      <c r="AE51" s="13">
        <v>3</v>
      </c>
      <c r="AF51" s="13">
        <v>2</v>
      </c>
      <c r="AG51" s="13">
        <v>2</v>
      </c>
      <c r="AH51" s="89">
        <v>3</v>
      </c>
      <c r="AI51" s="13">
        <v>2</v>
      </c>
      <c r="AJ51" s="13">
        <v>2</v>
      </c>
      <c r="AK51" s="13">
        <v>3</v>
      </c>
      <c r="AL51" s="13">
        <v>2</v>
      </c>
      <c r="AM51" s="13">
        <v>2</v>
      </c>
      <c r="AN51" s="13">
        <v>3</v>
      </c>
      <c r="AO51" s="13">
        <v>3</v>
      </c>
      <c r="AP51" s="13">
        <v>3</v>
      </c>
      <c r="AQ51" s="13">
        <v>3</v>
      </c>
      <c r="AR51" s="13">
        <v>1</v>
      </c>
      <c r="AS51" s="13">
        <v>4</v>
      </c>
      <c r="AT51" s="25">
        <v>3</v>
      </c>
    </row>
    <row r="52" spans="1:46" ht="12.75" customHeight="1" x14ac:dyDescent="0.3">
      <c r="A52" s="132"/>
      <c r="B52" s="116">
        <v>46198</v>
      </c>
      <c r="C52" s="107">
        <v>0.83333333333333337</v>
      </c>
      <c r="D52" s="99" t="s">
        <v>82</v>
      </c>
      <c r="E52" s="125" t="s">
        <v>30</v>
      </c>
      <c r="F52" s="125" t="s">
        <v>41</v>
      </c>
      <c r="G52" s="126"/>
      <c r="H52" s="126"/>
      <c r="I52" s="123" t="str">
        <f t="shared" si="0"/>
        <v>-</v>
      </c>
      <c r="J52" s="27" t="s">
        <v>16</v>
      </c>
      <c r="K52" s="19" t="s">
        <v>15</v>
      </c>
      <c r="L52" s="19" t="s">
        <v>15</v>
      </c>
      <c r="M52" s="19" t="s">
        <v>16</v>
      </c>
      <c r="N52" s="19" t="s">
        <v>16</v>
      </c>
      <c r="O52" s="19" t="s">
        <v>15</v>
      </c>
      <c r="P52" s="19" t="s">
        <v>16</v>
      </c>
      <c r="Q52" s="19" t="s">
        <v>16</v>
      </c>
      <c r="R52" s="19" t="s">
        <v>15</v>
      </c>
      <c r="S52" s="19" t="s">
        <v>16</v>
      </c>
      <c r="T52" s="19" t="s">
        <v>15</v>
      </c>
      <c r="U52" s="19" t="s">
        <v>15</v>
      </c>
      <c r="V52" s="19" t="s">
        <v>16</v>
      </c>
      <c r="W52" s="19" t="s">
        <v>15</v>
      </c>
      <c r="X52" s="19" t="s">
        <v>15</v>
      </c>
      <c r="Y52" s="19" t="s">
        <v>15</v>
      </c>
      <c r="Z52" s="19" t="s">
        <v>15</v>
      </c>
      <c r="AA52" s="19" t="s">
        <v>16</v>
      </c>
      <c r="AB52" s="19" t="s">
        <v>15</v>
      </c>
      <c r="AC52" s="19" t="s">
        <v>15</v>
      </c>
      <c r="AD52" s="19" t="s">
        <v>16</v>
      </c>
      <c r="AE52" s="19" t="s">
        <v>16</v>
      </c>
      <c r="AF52" s="19" t="s">
        <v>16</v>
      </c>
      <c r="AG52" s="19" t="s">
        <v>15</v>
      </c>
      <c r="AH52" s="91" t="s">
        <v>16</v>
      </c>
      <c r="AI52" s="19" t="s">
        <v>16</v>
      </c>
      <c r="AJ52" s="19" t="s">
        <v>16</v>
      </c>
      <c r="AK52" s="19" t="s">
        <v>16</v>
      </c>
      <c r="AL52" s="19" t="s">
        <v>15</v>
      </c>
      <c r="AM52" s="19" t="s">
        <v>7</v>
      </c>
      <c r="AN52" s="19" t="s">
        <v>16</v>
      </c>
      <c r="AO52" s="19" t="s">
        <v>16</v>
      </c>
      <c r="AP52" s="19" t="s">
        <v>16</v>
      </c>
      <c r="AQ52" s="19" t="s">
        <v>16</v>
      </c>
      <c r="AR52" s="19" t="s">
        <v>7</v>
      </c>
      <c r="AS52" s="19" t="s">
        <v>15</v>
      </c>
      <c r="AT52" s="28" t="s">
        <v>15</v>
      </c>
    </row>
    <row r="53" spans="1:46" ht="12.75" customHeight="1" x14ac:dyDescent="0.3">
      <c r="A53" s="132"/>
      <c r="B53" s="108"/>
      <c r="C53" s="108"/>
      <c r="D53" s="100"/>
      <c r="E53" s="100"/>
      <c r="F53" s="100"/>
      <c r="G53" s="127"/>
      <c r="H53" s="127"/>
      <c r="I53" s="124"/>
      <c r="J53" s="27">
        <v>2</v>
      </c>
      <c r="K53" s="19">
        <v>3</v>
      </c>
      <c r="L53" s="19">
        <v>2</v>
      </c>
      <c r="M53" s="19">
        <v>4</v>
      </c>
      <c r="N53" s="19">
        <v>2</v>
      </c>
      <c r="O53" s="19">
        <v>2</v>
      </c>
      <c r="P53" s="19">
        <v>4</v>
      </c>
      <c r="Q53" s="19">
        <v>2</v>
      </c>
      <c r="R53" s="19">
        <v>3</v>
      </c>
      <c r="S53" s="19">
        <v>2</v>
      </c>
      <c r="T53" s="19">
        <v>2</v>
      </c>
      <c r="U53" s="19">
        <v>2</v>
      </c>
      <c r="V53" s="19">
        <v>2</v>
      </c>
      <c r="W53" s="19">
        <v>3</v>
      </c>
      <c r="X53" s="19">
        <v>3</v>
      </c>
      <c r="Y53" s="19">
        <v>3</v>
      </c>
      <c r="Z53" s="19">
        <v>2</v>
      </c>
      <c r="AA53" s="19">
        <v>2</v>
      </c>
      <c r="AB53" s="19">
        <v>1</v>
      </c>
      <c r="AC53" s="19">
        <v>1</v>
      </c>
      <c r="AD53" s="19">
        <v>2</v>
      </c>
      <c r="AE53" s="19">
        <v>0</v>
      </c>
      <c r="AF53" s="19">
        <v>2</v>
      </c>
      <c r="AG53" s="19">
        <v>3</v>
      </c>
      <c r="AH53" s="91">
        <v>2</v>
      </c>
      <c r="AI53" s="19">
        <v>2</v>
      </c>
      <c r="AJ53" s="19">
        <v>4</v>
      </c>
      <c r="AK53" s="19">
        <v>2</v>
      </c>
      <c r="AL53" s="19">
        <v>1</v>
      </c>
      <c r="AM53" s="19">
        <v>3</v>
      </c>
      <c r="AN53" s="19">
        <v>2</v>
      </c>
      <c r="AO53" s="19">
        <v>4</v>
      </c>
      <c r="AP53" s="19">
        <v>6</v>
      </c>
      <c r="AQ53" s="19">
        <v>2</v>
      </c>
      <c r="AR53" s="19">
        <v>1</v>
      </c>
      <c r="AS53" s="19">
        <v>3</v>
      </c>
      <c r="AT53" s="28">
        <v>3</v>
      </c>
    </row>
    <row r="54" spans="1:46" ht="12.75" customHeight="1" x14ac:dyDescent="0.3">
      <c r="A54" s="132"/>
      <c r="B54" s="141">
        <v>46198</v>
      </c>
      <c r="C54" s="111">
        <v>0.83333333333333337</v>
      </c>
      <c r="D54" s="103" t="s">
        <v>85</v>
      </c>
      <c r="E54" s="139" t="s">
        <v>43</v>
      </c>
      <c r="F54" s="125" t="s">
        <v>42</v>
      </c>
      <c r="G54" s="126"/>
      <c r="H54" s="126"/>
      <c r="I54" s="123" t="str">
        <f t="shared" si="0"/>
        <v>-</v>
      </c>
      <c r="J54" s="26" t="s">
        <v>7</v>
      </c>
      <c r="K54" s="13" t="s">
        <v>16</v>
      </c>
      <c r="L54" s="13" t="s">
        <v>7</v>
      </c>
      <c r="M54" s="13" t="s">
        <v>15</v>
      </c>
      <c r="N54" s="13" t="s">
        <v>16</v>
      </c>
      <c r="O54" s="13" t="s">
        <v>7</v>
      </c>
      <c r="P54" s="13" t="s">
        <v>7</v>
      </c>
      <c r="Q54" s="13" t="s">
        <v>7</v>
      </c>
      <c r="R54" s="13" t="s">
        <v>16</v>
      </c>
      <c r="S54" s="13" t="s">
        <v>7</v>
      </c>
      <c r="T54" s="13" t="s">
        <v>7</v>
      </c>
      <c r="U54" s="13" t="s">
        <v>7</v>
      </c>
      <c r="V54" s="13" t="s">
        <v>16</v>
      </c>
      <c r="W54" s="13" t="s">
        <v>7</v>
      </c>
      <c r="X54" s="13" t="s">
        <v>16</v>
      </c>
      <c r="Y54" s="13" t="s">
        <v>7</v>
      </c>
      <c r="Z54" s="13" t="s">
        <v>7</v>
      </c>
      <c r="AA54" s="13" t="s">
        <v>7</v>
      </c>
      <c r="AB54" s="13" t="s">
        <v>7</v>
      </c>
      <c r="AC54" s="13" t="s">
        <v>7</v>
      </c>
      <c r="AD54" s="13" t="s">
        <v>16</v>
      </c>
      <c r="AE54" s="13" t="s">
        <v>7</v>
      </c>
      <c r="AF54" s="13" t="s">
        <v>16</v>
      </c>
      <c r="AG54" s="13" t="s">
        <v>7</v>
      </c>
      <c r="AH54" s="89" t="s">
        <v>7</v>
      </c>
      <c r="AI54" s="13" t="s">
        <v>7</v>
      </c>
      <c r="AJ54" s="13" t="s">
        <v>7</v>
      </c>
      <c r="AK54" s="13" t="s">
        <v>7</v>
      </c>
      <c r="AL54" s="13" t="s">
        <v>7</v>
      </c>
      <c r="AM54" s="13" t="s">
        <v>16</v>
      </c>
      <c r="AN54" s="13" t="s">
        <v>16</v>
      </c>
      <c r="AO54" s="13" t="s">
        <v>7</v>
      </c>
      <c r="AP54" s="13" t="s">
        <v>7</v>
      </c>
      <c r="AQ54" s="13" t="s">
        <v>7</v>
      </c>
      <c r="AR54" s="13" t="s">
        <v>7</v>
      </c>
      <c r="AS54" s="13" t="s">
        <v>15</v>
      </c>
      <c r="AT54" s="25" t="s">
        <v>7</v>
      </c>
    </row>
    <row r="55" spans="1:46" ht="12.75" customHeight="1" x14ac:dyDescent="0.3">
      <c r="A55" s="133"/>
      <c r="B55" s="112"/>
      <c r="C55" s="112"/>
      <c r="D55" s="104"/>
      <c r="E55" s="104"/>
      <c r="F55" s="100"/>
      <c r="G55" s="127"/>
      <c r="H55" s="127"/>
      <c r="I55" s="124"/>
      <c r="J55" s="26">
        <v>1</v>
      </c>
      <c r="K55" s="13">
        <v>2</v>
      </c>
      <c r="L55" s="13">
        <v>2</v>
      </c>
      <c r="M55" s="13">
        <v>1</v>
      </c>
      <c r="N55" s="13">
        <v>2</v>
      </c>
      <c r="O55" s="13">
        <v>3</v>
      </c>
      <c r="P55" s="13">
        <v>2</v>
      </c>
      <c r="Q55" s="13">
        <v>1</v>
      </c>
      <c r="R55" s="13">
        <v>2</v>
      </c>
      <c r="S55" s="13">
        <v>2</v>
      </c>
      <c r="T55" s="13">
        <v>2</v>
      </c>
      <c r="U55" s="13">
        <v>2</v>
      </c>
      <c r="V55" s="13">
        <v>2</v>
      </c>
      <c r="W55" s="13">
        <v>2</v>
      </c>
      <c r="X55" s="13">
        <v>2</v>
      </c>
      <c r="Y55" s="13">
        <v>2</v>
      </c>
      <c r="Z55" s="13">
        <v>1</v>
      </c>
      <c r="AA55" s="13">
        <v>1</v>
      </c>
      <c r="AB55" s="13">
        <v>2</v>
      </c>
      <c r="AC55" s="13">
        <v>3</v>
      </c>
      <c r="AD55" s="13">
        <v>2</v>
      </c>
      <c r="AE55" s="13">
        <v>2</v>
      </c>
      <c r="AF55" s="13">
        <v>1</v>
      </c>
      <c r="AG55" s="13">
        <v>1</v>
      </c>
      <c r="AH55" s="89">
        <v>2</v>
      </c>
      <c r="AI55" s="13">
        <v>3</v>
      </c>
      <c r="AJ55" s="13">
        <v>1</v>
      </c>
      <c r="AK55" s="13">
        <v>3</v>
      </c>
      <c r="AL55" s="13">
        <v>2</v>
      </c>
      <c r="AM55" s="13">
        <v>0</v>
      </c>
      <c r="AN55" s="13">
        <v>2</v>
      </c>
      <c r="AO55" s="13">
        <v>3</v>
      </c>
      <c r="AP55" s="13">
        <v>3</v>
      </c>
      <c r="AQ55" s="13">
        <v>1</v>
      </c>
      <c r="AR55" s="13">
        <v>2</v>
      </c>
      <c r="AS55" s="13">
        <v>2</v>
      </c>
      <c r="AT55" s="25">
        <v>1</v>
      </c>
    </row>
    <row r="56" spans="1:46" ht="12.75" customHeight="1" x14ac:dyDescent="0.3">
      <c r="A56" s="120" t="s">
        <v>16</v>
      </c>
      <c r="B56" s="117">
        <v>46187</v>
      </c>
      <c r="C56" s="105">
        <v>0.45833333333333331</v>
      </c>
      <c r="D56" s="97" t="s">
        <v>87</v>
      </c>
      <c r="E56" s="130" t="s">
        <v>23</v>
      </c>
      <c r="F56" s="130" t="s">
        <v>47</v>
      </c>
      <c r="G56" s="128">
        <v>7</v>
      </c>
      <c r="H56" s="128">
        <v>1</v>
      </c>
      <c r="I56" s="134" t="str">
        <f>IF(G56="","-",IF(G56&gt;H56,"L",IF(G56=H56,"E",IF(G56&lt;H56,"V"))))</f>
        <v>L</v>
      </c>
      <c r="J56" s="23" t="s">
        <v>7</v>
      </c>
      <c r="K56" s="18" t="s">
        <v>7</v>
      </c>
      <c r="L56" s="18" t="s">
        <v>7</v>
      </c>
      <c r="M56" s="18" t="s">
        <v>7</v>
      </c>
      <c r="N56" s="18" t="s">
        <v>7</v>
      </c>
      <c r="O56" s="18" t="s">
        <v>7</v>
      </c>
      <c r="P56" s="18" t="s">
        <v>7</v>
      </c>
      <c r="Q56" s="18" t="s">
        <v>7</v>
      </c>
      <c r="R56" s="18" t="s">
        <v>7</v>
      </c>
      <c r="S56" s="18" t="s">
        <v>7</v>
      </c>
      <c r="T56" s="18" t="s">
        <v>7</v>
      </c>
      <c r="U56" s="18" t="s">
        <v>7</v>
      </c>
      <c r="V56" s="18" t="s">
        <v>7</v>
      </c>
      <c r="W56" s="18" t="s">
        <v>7</v>
      </c>
      <c r="X56" s="18" t="s">
        <v>7</v>
      </c>
      <c r="Y56" s="18" t="s">
        <v>7</v>
      </c>
      <c r="Z56" s="18" t="s">
        <v>7</v>
      </c>
      <c r="AA56" s="18" t="s">
        <v>7</v>
      </c>
      <c r="AB56" s="18" t="s">
        <v>7</v>
      </c>
      <c r="AC56" s="18" t="s">
        <v>7</v>
      </c>
      <c r="AD56" s="18" t="s">
        <v>7</v>
      </c>
      <c r="AE56" s="18" t="s">
        <v>7</v>
      </c>
      <c r="AF56" s="18" t="s">
        <v>7</v>
      </c>
      <c r="AG56" s="18" t="s">
        <v>7</v>
      </c>
      <c r="AH56" s="87" t="s">
        <v>7</v>
      </c>
      <c r="AI56" s="18" t="s">
        <v>7</v>
      </c>
      <c r="AJ56" s="18" t="s">
        <v>7</v>
      </c>
      <c r="AK56" s="18" t="s">
        <v>7</v>
      </c>
      <c r="AL56" s="18" t="s">
        <v>7</v>
      </c>
      <c r="AM56" s="18" t="s">
        <v>7</v>
      </c>
      <c r="AN56" s="18" t="s">
        <v>7</v>
      </c>
      <c r="AO56" s="18" t="s">
        <v>7</v>
      </c>
      <c r="AP56" s="18" t="s">
        <v>7</v>
      </c>
      <c r="AQ56" s="18" t="s">
        <v>7</v>
      </c>
      <c r="AR56" s="18" t="s">
        <v>7</v>
      </c>
      <c r="AS56" s="18" t="s">
        <v>7</v>
      </c>
      <c r="AT56" s="24" t="s">
        <v>7</v>
      </c>
    </row>
    <row r="57" spans="1:46" ht="12.75" customHeight="1" x14ac:dyDescent="0.3">
      <c r="A57" s="121"/>
      <c r="B57" s="106"/>
      <c r="C57" s="106"/>
      <c r="D57" s="98"/>
      <c r="E57" s="98"/>
      <c r="F57" s="98"/>
      <c r="G57" s="129"/>
      <c r="H57" s="129"/>
      <c r="I57" s="135"/>
      <c r="J57" s="23">
        <v>4</v>
      </c>
      <c r="K57" s="18">
        <v>4</v>
      </c>
      <c r="L57" s="18">
        <v>5</v>
      </c>
      <c r="M57" s="18">
        <v>3</v>
      </c>
      <c r="N57" s="18">
        <v>3</v>
      </c>
      <c r="O57" s="18">
        <v>3</v>
      </c>
      <c r="P57" s="18">
        <v>4</v>
      </c>
      <c r="Q57" s="18">
        <v>5</v>
      </c>
      <c r="R57" s="18">
        <v>4</v>
      </c>
      <c r="S57" s="18">
        <v>4</v>
      </c>
      <c r="T57" s="18">
        <v>5</v>
      </c>
      <c r="U57" s="18">
        <v>4</v>
      </c>
      <c r="V57" s="18">
        <v>5</v>
      </c>
      <c r="W57" s="18">
        <v>4</v>
      </c>
      <c r="X57" s="18">
        <v>3</v>
      </c>
      <c r="Y57" s="18">
        <v>4</v>
      </c>
      <c r="Z57" s="18">
        <v>3</v>
      </c>
      <c r="AA57" s="18">
        <v>4</v>
      </c>
      <c r="AB57" s="18">
        <v>3</v>
      </c>
      <c r="AC57" s="18">
        <v>4</v>
      </c>
      <c r="AD57" s="18">
        <v>4</v>
      </c>
      <c r="AE57" s="18">
        <v>6</v>
      </c>
      <c r="AF57" s="18">
        <v>3</v>
      </c>
      <c r="AG57" s="18">
        <v>4</v>
      </c>
      <c r="AH57" s="87">
        <v>4</v>
      </c>
      <c r="AI57" s="18">
        <v>6</v>
      </c>
      <c r="AJ57" s="18">
        <v>4</v>
      </c>
      <c r="AK57" s="18">
        <v>4</v>
      </c>
      <c r="AL57" s="18">
        <v>3</v>
      </c>
      <c r="AM57" s="18">
        <v>4</v>
      </c>
      <c r="AN57" s="18">
        <v>5</v>
      </c>
      <c r="AO57" s="18">
        <v>4</v>
      </c>
      <c r="AP57" s="18">
        <v>4</v>
      </c>
      <c r="AQ57" s="18">
        <v>4</v>
      </c>
      <c r="AR57" s="18">
        <v>1</v>
      </c>
      <c r="AS57" s="18">
        <v>4</v>
      </c>
      <c r="AT57" s="24">
        <v>6</v>
      </c>
    </row>
    <row r="58" spans="1:46" ht="12.75" customHeight="1" x14ac:dyDescent="0.3">
      <c r="A58" s="121"/>
      <c r="B58" s="117">
        <v>46187</v>
      </c>
      <c r="C58" s="105">
        <v>0.70833333333333337</v>
      </c>
      <c r="D58" s="97" t="s">
        <v>94</v>
      </c>
      <c r="E58" s="130" t="s">
        <v>45</v>
      </c>
      <c r="F58" s="130" t="s">
        <v>46</v>
      </c>
      <c r="G58" s="128">
        <v>1</v>
      </c>
      <c r="H58" s="128">
        <v>0</v>
      </c>
      <c r="I58" s="134" t="str">
        <f t="shared" ref="I58" si="1">IF(G58="","-",IF(G58&gt;H58,"L",IF(G58=H58,"E",IF(G58&lt;H58,"V"))))</f>
        <v>L</v>
      </c>
      <c r="J58" s="26" t="s">
        <v>16</v>
      </c>
      <c r="K58" s="13" t="s">
        <v>7</v>
      </c>
      <c r="L58" s="13" t="s">
        <v>16</v>
      </c>
      <c r="M58" s="13" t="s">
        <v>7</v>
      </c>
      <c r="N58" s="13" t="s">
        <v>16</v>
      </c>
      <c r="O58" s="13" t="s">
        <v>15</v>
      </c>
      <c r="P58" s="13" t="s">
        <v>7</v>
      </c>
      <c r="Q58" s="13" t="s">
        <v>16</v>
      </c>
      <c r="R58" s="13" t="s">
        <v>16</v>
      </c>
      <c r="S58" s="13" t="s">
        <v>16</v>
      </c>
      <c r="T58" s="13" t="s">
        <v>7</v>
      </c>
      <c r="U58" s="13" t="s">
        <v>16</v>
      </c>
      <c r="V58" s="13" t="s">
        <v>16</v>
      </c>
      <c r="W58" s="13" t="s">
        <v>16</v>
      </c>
      <c r="X58" s="13" t="s">
        <v>16</v>
      </c>
      <c r="Y58" s="13" t="s">
        <v>16</v>
      </c>
      <c r="Z58" s="13" t="s">
        <v>15</v>
      </c>
      <c r="AA58" s="13" t="s">
        <v>16</v>
      </c>
      <c r="AB58" s="13" t="s">
        <v>15</v>
      </c>
      <c r="AC58" s="13" t="s">
        <v>15</v>
      </c>
      <c r="AD58" s="13" t="s">
        <v>16</v>
      </c>
      <c r="AE58" s="13" t="s">
        <v>15</v>
      </c>
      <c r="AF58" s="13" t="s">
        <v>16</v>
      </c>
      <c r="AG58" s="13" t="s">
        <v>15</v>
      </c>
      <c r="AH58" s="89" t="s">
        <v>16</v>
      </c>
      <c r="AI58" s="13" t="s">
        <v>16</v>
      </c>
      <c r="AJ58" s="13" t="s">
        <v>15</v>
      </c>
      <c r="AK58" s="13" t="s">
        <v>16</v>
      </c>
      <c r="AL58" s="13" t="s">
        <v>15</v>
      </c>
      <c r="AM58" s="13" t="s">
        <v>15</v>
      </c>
      <c r="AN58" s="13" t="s">
        <v>16</v>
      </c>
      <c r="AO58" s="13" t="s">
        <v>16</v>
      </c>
      <c r="AP58" s="13" t="s">
        <v>16</v>
      </c>
      <c r="AQ58" s="13" t="s">
        <v>15</v>
      </c>
      <c r="AR58" s="13" t="s">
        <v>7</v>
      </c>
      <c r="AS58" s="13" t="s">
        <v>15</v>
      </c>
      <c r="AT58" s="25" t="s">
        <v>15</v>
      </c>
    </row>
    <row r="59" spans="1:46" ht="12.75" customHeight="1" x14ac:dyDescent="0.3">
      <c r="A59" s="121"/>
      <c r="B59" s="106"/>
      <c r="C59" s="106"/>
      <c r="D59" s="98"/>
      <c r="E59" s="98"/>
      <c r="F59" s="98"/>
      <c r="G59" s="129"/>
      <c r="H59" s="129"/>
      <c r="I59" s="135"/>
      <c r="J59" s="26">
        <v>2</v>
      </c>
      <c r="K59" s="13">
        <v>3</v>
      </c>
      <c r="L59" s="13">
        <v>1</v>
      </c>
      <c r="M59" s="13">
        <v>3</v>
      </c>
      <c r="N59" s="13">
        <v>2</v>
      </c>
      <c r="O59" s="13">
        <v>3</v>
      </c>
      <c r="P59" s="13">
        <v>3</v>
      </c>
      <c r="Q59" s="13">
        <v>4</v>
      </c>
      <c r="R59" s="13">
        <v>2</v>
      </c>
      <c r="S59" s="13">
        <v>2</v>
      </c>
      <c r="T59" s="13">
        <v>3</v>
      </c>
      <c r="U59" s="13">
        <v>2</v>
      </c>
      <c r="V59" s="13">
        <v>2</v>
      </c>
      <c r="W59" s="13">
        <v>2</v>
      </c>
      <c r="X59" s="13">
        <v>2</v>
      </c>
      <c r="Y59" s="13">
        <v>2</v>
      </c>
      <c r="Z59" s="13">
        <v>3</v>
      </c>
      <c r="AA59" s="13">
        <v>2</v>
      </c>
      <c r="AB59" s="13">
        <v>3</v>
      </c>
      <c r="AC59" s="13">
        <v>3</v>
      </c>
      <c r="AD59" s="13">
        <v>2</v>
      </c>
      <c r="AE59" s="13">
        <v>3</v>
      </c>
      <c r="AF59" s="13">
        <v>2</v>
      </c>
      <c r="AG59" s="13">
        <v>3</v>
      </c>
      <c r="AH59" s="89">
        <v>2</v>
      </c>
      <c r="AI59" s="13">
        <v>2</v>
      </c>
      <c r="AJ59" s="13">
        <v>1</v>
      </c>
      <c r="AK59" s="13">
        <v>2</v>
      </c>
      <c r="AL59" s="13">
        <v>3</v>
      </c>
      <c r="AM59" s="13">
        <v>3</v>
      </c>
      <c r="AN59" s="13">
        <v>0</v>
      </c>
      <c r="AO59" s="13">
        <v>4</v>
      </c>
      <c r="AP59" s="13">
        <v>4</v>
      </c>
      <c r="AQ59" s="13">
        <v>3</v>
      </c>
      <c r="AR59" s="13">
        <v>3</v>
      </c>
      <c r="AS59" s="13">
        <v>3</v>
      </c>
      <c r="AT59" s="25">
        <v>3</v>
      </c>
    </row>
    <row r="60" spans="1:46" ht="12.75" customHeight="1" x14ac:dyDescent="0.3">
      <c r="A60" s="121"/>
      <c r="B60" s="117">
        <v>46193</v>
      </c>
      <c r="C60" s="105">
        <v>0.58333333333333337</v>
      </c>
      <c r="D60" s="97" t="s">
        <v>84</v>
      </c>
      <c r="E60" s="130" t="s">
        <v>23</v>
      </c>
      <c r="F60" s="130" t="s">
        <v>45</v>
      </c>
      <c r="G60" s="128">
        <v>2</v>
      </c>
      <c r="H60" s="128">
        <v>1</v>
      </c>
      <c r="I60" s="134" t="str">
        <f t="shared" ref="I60" si="2">IF(G60="","-",IF(G60&gt;H60,"L",IF(G60=H60,"E",IF(G60&lt;H60,"V"))))</f>
        <v>L</v>
      </c>
      <c r="J60" s="23" t="s">
        <v>7</v>
      </c>
      <c r="K60" s="18" t="s">
        <v>7</v>
      </c>
      <c r="L60" s="18" t="s">
        <v>7</v>
      </c>
      <c r="M60" s="18" t="s">
        <v>7</v>
      </c>
      <c r="N60" s="18" t="s">
        <v>7</v>
      </c>
      <c r="O60" s="18" t="s">
        <v>7</v>
      </c>
      <c r="P60" s="18" t="s">
        <v>7</v>
      </c>
      <c r="Q60" s="18" t="s">
        <v>7</v>
      </c>
      <c r="R60" s="18" t="s">
        <v>7</v>
      </c>
      <c r="S60" s="18" t="s">
        <v>7</v>
      </c>
      <c r="T60" s="18" t="s">
        <v>7</v>
      </c>
      <c r="U60" s="18" t="s">
        <v>7</v>
      </c>
      <c r="V60" s="18" t="s">
        <v>7</v>
      </c>
      <c r="W60" s="18" t="s">
        <v>7</v>
      </c>
      <c r="X60" s="18" t="s">
        <v>7</v>
      </c>
      <c r="Y60" s="18" t="s">
        <v>7</v>
      </c>
      <c r="Z60" s="18" t="s">
        <v>7</v>
      </c>
      <c r="AA60" s="18" t="s">
        <v>7</v>
      </c>
      <c r="AB60" s="18" t="s">
        <v>7</v>
      </c>
      <c r="AC60" s="18" t="s">
        <v>7</v>
      </c>
      <c r="AD60" s="18" t="s">
        <v>7</v>
      </c>
      <c r="AE60" s="18" t="s">
        <v>16</v>
      </c>
      <c r="AF60" s="18" t="s">
        <v>7</v>
      </c>
      <c r="AG60" s="18" t="s">
        <v>7</v>
      </c>
      <c r="AH60" s="87" t="s">
        <v>7</v>
      </c>
      <c r="AI60" s="18" t="s">
        <v>7</v>
      </c>
      <c r="AJ60" s="18" t="s">
        <v>7</v>
      </c>
      <c r="AK60" s="18" t="s">
        <v>7</v>
      </c>
      <c r="AL60" s="18" t="s">
        <v>7</v>
      </c>
      <c r="AM60" s="18" t="s">
        <v>7</v>
      </c>
      <c r="AN60" s="18" t="s">
        <v>7</v>
      </c>
      <c r="AO60" s="18" t="s">
        <v>16</v>
      </c>
      <c r="AP60" s="18" t="s">
        <v>7</v>
      </c>
      <c r="AQ60" s="18" t="s">
        <v>7</v>
      </c>
      <c r="AR60" s="18" t="s">
        <v>16</v>
      </c>
      <c r="AS60" s="18" t="s">
        <v>7</v>
      </c>
      <c r="AT60" s="24" t="s">
        <v>7</v>
      </c>
    </row>
    <row r="61" spans="1:46" ht="12.75" customHeight="1" x14ac:dyDescent="0.3">
      <c r="A61" s="121"/>
      <c r="B61" s="106"/>
      <c r="C61" s="106"/>
      <c r="D61" s="98"/>
      <c r="E61" s="98"/>
      <c r="F61" s="98"/>
      <c r="G61" s="129"/>
      <c r="H61" s="129"/>
      <c r="I61" s="135"/>
      <c r="J61" s="23">
        <v>3</v>
      </c>
      <c r="K61" s="18">
        <v>3</v>
      </c>
      <c r="L61" s="18">
        <v>3</v>
      </c>
      <c r="M61" s="18">
        <v>3</v>
      </c>
      <c r="N61" s="18">
        <v>2</v>
      </c>
      <c r="O61" s="18">
        <v>3</v>
      </c>
      <c r="P61" s="18">
        <v>3</v>
      </c>
      <c r="Q61" s="18">
        <v>2</v>
      </c>
      <c r="R61" s="18">
        <v>3</v>
      </c>
      <c r="S61" s="18">
        <v>2</v>
      </c>
      <c r="T61" s="18">
        <v>4</v>
      </c>
      <c r="U61" s="18">
        <v>3</v>
      </c>
      <c r="V61" s="18">
        <v>4</v>
      </c>
      <c r="W61" s="18">
        <v>3</v>
      </c>
      <c r="X61" s="18">
        <v>3</v>
      </c>
      <c r="Y61" s="18">
        <v>3</v>
      </c>
      <c r="Z61" s="18">
        <v>3</v>
      </c>
      <c r="AA61" s="18">
        <v>3</v>
      </c>
      <c r="AB61" s="18">
        <v>3</v>
      </c>
      <c r="AC61" s="18">
        <v>4</v>
      </c>
      <c r="AD61" s="18">
        <v>4</v>
      </c>
      <c r="AE61" s="18">
        <v>2</v>
      </c>
      <c r="AF61" s="18">
        <v>2</v>
      </c>
      <c r="AG61" s="18">
        <v>2</v>
      </c>
      <c r="AH61" s="87">
        <v>2</v>
      </c>
      <c r="AI61" s="18">
        <v>3</v>
      </c>
      <c r="AJ61" s="18">
        <v>4</v>
      </c>
      <c r="AK61" s="18">
        <v>3</v>
      </c>
      <c r="AL61" s="18">
        <v>1</v>
      </c>
      <c r="AM61" s="18">
        <v>2</v>
      </c>
      <c r="AN61" s="18">
        <v>3</v>
      </c>
      <c r="AO61" s="18">
        <v>4</v>
      </c>
      <c r="AP61" s="18">
        <v>3</v>
      </c>
      <c r="AQ61" s="18">
        <v>3</v>
      </c>
      <c r="AR61" s="18">
        <v>2</v>
      </c>
      <c r="AS61" s="18">
        <v>5</v>
      </c>
      <c r="AT61" s="24">
        <v>4</v>
      </c>
    </row>
    <row r="62" spans="1:46" ht="12.75" customHeight="1" x14ac:dyDescent="0.3">
      <c r="A62" s="121"/>
      <c r="B62" s="117">
        <v>46193</v>
      </c>
      <c r="C62" s="105">
        <v>0.75</v>
      </c>
      <c r="D62" s="97" t="s">
        <v>93</v>
      </c>
      <c r="E62" s="130" t="s">
        <v>46</v>
      </c>
      <c r="F62" s="130" t="s">
        <v>47</v>
      </c>
      <c r="G62" s="128">
        <v>0</v>
      </c>
      <c r="H62" s="128">
        <v>0</v>
      </c>
      <c r="I62" s="134" t="str">
        <f t="shared" ref="I62" si="3">IF(G62="","-",IF(G62&gt;H62,"L",IF(G62=H62,"E",IF(G62&lt;H62,"V"))))</f>
        <v>E</v>
      </c>
      <c r="J62" s="26" t="s">
        <v>7</v>
      </c>
      <c r="K62" s="13" t="s">
        <v>7</v>
      </c>
      <c r="L62" s="13" t="s">
        <v>7</v>
      </c>
      <c r="M62" s="13" t="s">
        <v>7</v>
      </c>
      <c r="N62" s="13" t="s">
        <v>7</v>
      </c>
      <c r="O62" s="13" t="s">
        <v>16</v>
      </c>
      <c r="P62" s="13" t="s">
        <v>7</v>
      </c>
      <c r="Q62" s="13" t="s">
        <v>7</v>
      </c>
      <c r="R62" s="13" t="s">
        <v>7</v>
      </c>
      <c r="S62" s="13" t="s">
        <v>7</v>
      </c>
      <c r="T62" s="13" t="s">
        <v>7</v>
      </c>
      <c r="U62" s="13" t="s">
        <v>7</v>
      </c>
      <c r="V62" s="13" t="s">
        <v>7</v>
      </c>
      <c r="W62" s="13" t="s">
        <v>7</v>
      </c>
      <c r="X62" s="13" t="s">
        <v>7</v>
      </c>
      <c r="Y62" s="13" t="s">
        <v>7</v>
      </c>
      <c r="Z62" s="13" t="s">
        <v>7</v>
      </c>
      <c r="AA62" s="13" t="s">
        <v>7</v>
      </c>
      <c r="AB62" s="13" t="s">
        <v>7</v>
      </c>
      <c r="AC62" s="13" t="s">
        <v>7</v>
      </c>
      <c r="AD62" s="13" t="s">
        <v>7</v>
      </c>
      <c r="AE62" s="13" t="s">
        <v>7</v>
      </c>
      <c r="AF62" s="13" t="s">
        <v>7</v>
      </c>
      <c r="AG62" s="13" t="s">
        <v>7</v>
      </c>
      <c r="AH62" s="89" t="s">
        <v>7</v>
      </c>
      <c r="AI62" s="13" t="s">
        <v>7</v>
      </c>
      <c r="AJ62" s="13" t="s">
        <v>7</v>
      </c>
      <c r="AK62" s="13" t="s">
        <v>7</v>
      </c>
      <c r="AL62" s="13" t="s">
        <v>7</v>
      </c>
      <c r="AM62" s="13" t="s">
        <v>7</v>
      </c>
      <c r="AN62" s="13" t="s">
        <v>7</v>
      </c>
      <c r="AO62" s="13" t="s">
        <v>7</v>
      </c>
      <c r="AP62" s="13" t="s">
        <v>16</v>
      </c>
      <c r="AQ62" s="13" t="s">
        <v>7</v>
      </c>
      <c r="AR62" s="13" t="s">
        <v>7</v>
      </c>
      <c r="AS62" s="13" t="s">
        <v>7</v>
      </c>
      <c r="AT62" s="25" t="s">
        <v>7</v>
      </c>
    </row>
    <row r="63" spans="1:46" ht="12.75" customHeight="1" x14ac:dyDescent="0.3">
      <c r="A63" s="121"/>
      <c r="B63" s="106"/>
      <c r="C63" s="106"/>
      <c r="D63" s="98"/>
      <c r="E63" s="98"/>
      <c r="F63" s="98"/>
      <c r="G63" s="129"/>
      <c r="H63" s="129"/>
      <c r="I63" s="135"/>
      <c r="J63" s="26">
        <v>3</v>
      </c>
      <c r="K63" s="13">
        <v>2</v>
      </c>
      <c r="L63" s="13">
        <v>2</v>
      </c>
      <c r="M63" s="13">
        <v>1</v>
      </c>
      <c r="N63" s="13">
        <v>2</v>
      </c>
      <c r="O63" s="13">
        <v>2</v>
      </c>
      <c r="P63" s="13">
        <v>2</v>
      </c>
      <c r="Q63" s="13">
        <v>3</v>
      </c>
      <c r="R63" s="13">
        <v>2</v>
      </c>
      <c r="S63" s="13">
        <v>3</v>
      </c>
      <c r="T63" s="13">
        <v>2</v>
      </c>
      <c r="U63" s="13">
        <v>2</v>
      </c>
      <c r="V63" s="13">
        <v>2</v>
      </c>
      <c r="W63" s="13">
        <v>2</v>
      </c>
      <c r="X63" s="13">
        <v>2</v>
      </c>
      <c r="Y63" s="13">
        <v>3</v>
      </c>
      <c r="Z63" s="13">
        <v>3</v>
      </c>
      <c r="AA63" s="13">
        <v>3</v>
      </c>
      <c r="AB63" s="13">
        <v>2</v>
      </c>
      <c r="AC63" s="13">
        <v>3</v>
      </c>
      <c r="AD63" s="13">
        <v>2</v>
      </c>
      <c r="AE63" s="13">
        <v>4</v>
      </c>
      <c r="AF63" s="13">
        <v>3</v>
      </c>
      <c r="AG63" s="13">
        <v>2</v>
      </c>
      <c r="AH63" s="89">
        <v>3</v>
      </c>
      <c r="AI63" s="13">
        <v>3</v>
      </c>
      <c r="AJ63" s="13">
        <v>2</v>
      </c>
      <c r="AK63" s="13">
        <v>3</v>
      </c>
      <c r="AL63" s="13">
        <v>2</v>
      </c>
      <c r="AM63" s="13">
        <v>3</v>
      </c>
      <c r="AN63" s="13">
        <v>2</v>
      </c>
      <c r="AO63" s="13">
        <v>3</v>
      </c>
      <c r="AP63" s="13">
        <v>3</v>
      </c>
      <c r="AQ63" s="13">
        <v>3</v>
      </c>
      <c r="AR63" s="13">
        <v>3</v>
      </c>
      <c r="AS63" s="13">
        <v>6</v>
      </c>
      <c r="AT63" s="25">
        <v>4</v>
      </c>
    </row>
    <row r="64" spans="1:46" ht="12.75" customHeight="1" x14ac:dyDescent="0.3">
      <c r="A64" s="121"/>
      <c r="B64" s="117">
        <v>46198</v>
      </c>
      <c r="C64" s="105">
        <v>0.58333333333333337</v>
      </c>
      <c r="D64" s="97" t="s">
        <v>81</v>
      </c>
      <c r="E64" s="130" t="s">
        <v>46</v>
      </c>
      <c r="F64" s="130" t="s">
        <v>23</v>
      </c>
      <c r="G64" s="128"/>
      <c r="H64" s="128"/>
      <c r="I64" s="134" t="str">
        <f t="shared" ref="I64" si="4">IF(G64="","-",IF(G64&gt;H64,"L",IF(G64=H64,"E",IF(G64&lt;H64,"V"))))</f>
        <v>-</v>
      </c>
      <c r="J64" s="23" t="s">
        <v>15</v>
      </c>
      <c r="K64" s="18" t="s">
        <v>15</v>
      </c>
      <c r="L64" s="18" t="s">
        <v>15</v>
      </c>
      <c r="M64" s="18" t="s">
        <v>15</v>
      </c>
      <c r="N64" s="18" t="s">
        <v>15</v>
      </c>
      <c r="O64" s="18" t="s">
        <v>15</v>
      </c>
      <c r="P64" s="18" t="s">
        <v>15</v>
      </c>
      <c r="Q64" s="18" t="s">
        <v>16</v>
      </c>
      <c r="R64" s="18" t="s">
        <v>15</v>
      </c>
      <c r="S64" s="18" t="s">
        <v>16</v>
      </c>
      <c r="T64" s="18" t="s">
        <v>15</v>
      </c>
      <c r="U64" s="18" t="s">
        <v>15</v>
      </c>
      <c r="V64" s="18" t="s">
        <v>16</v>
      </c>
      <c r="W64" s="18" t="s">
        <v>16</v>
      </c>
      <c r="X64" s="18" t="s">
        <v>15</v>
      </c>
      <c r="Y64" s="18" t="s">
        <v>15</v>
      </c>
      <c r="Z64" s="18" t="s">
        <v>16</v>
      </c>
      <c r="AA64" s="18" t="s">
        <v>15</v>
      </c>
      <c r="AB64" s="18" t="s">
        <v>15</v>
      </c>
      <c r="AC64" s="18" t="s">
        <v>15</v>
      </c>
      <c r="AD64" s="18" t="s">
        <v>15</v>
      </c>
      <c r="AE64" s="18" t="s">
        <v>16</v>
      </c>
      <c r="AF64" s="18" t="s">
        <v>15</v>
      </c>
      <c r="AG64" s="18" t="s">
        <v>15</v>
      </c>
      <c r="AH64" s="87" t="s">
        <v>15</v>
      </c>
      <c r="AI64" s="18" t="s">
        <v>15</v>
      </c>
      <c r="AJ64" s="18" t="s">
        <v>15</v>
      </c>
      <c r="AK64" s="18" t="s">
        <v>15</v>
      </c>
      <c r="AL64" s="18" t="s">
        <v>15</v>
      </c>
      <c r="AM64" s="18" t="s">
        <v>16</v>
      </c>
      <c r="AN64" s="18" t="s">
        <v>15</v>
      </c>
      <c r="AO64" s="18" t="s">
        <v>16</v>
      </c>
      <c r="AP64" s="18" t="s">
        <v>15</v>
      </c>
      <c r="AQ64" s="18" t="s">
        <v>16</v>
      </c>
      <c r="AR64" s="18" t="s">
        <v>15</v>
      </c>
      <c r="AS64" s="18" t="s">
        <v>16</v>
      </c>
      <c r="AT64" s="24" t="s">
        <v>15</v>
      </c>
    </row>
    <row r="65" spans="1:46" ht="12.75" customHeight="1" x14ac:dyDescent="0.3">
      <c r="A65" s="121"/>
      <c r="B65" s="106"/>
      <c r="C65" s="106"/>
      <c r="D65" s="98"/>
      <c r="E65" s="98"/>
      <c r="F65" s="98"/>
      <c r="G65" s="129"/>
      <c r="H65" s="129"/>
      <c r="I65" s="135"/>
      <c r="J65" s="23">
        <v>2</v>
      </c>
      <c r="K65" s="18">
        <v>1</v>
      </c>
      <c r="L65" s="18">
        <v>2</v>
      </c>
      <c r="M65" s="18">
        <v>2</v>
      </c>
      <c r="N65" s="18">
        <v>2</v>
      </c>
      <c r="O65" s="18">
        <v>3</v>
      </c>
      <c r="P65" s="18">
        <v>2</v>
      </c>
      <c r="Q65" s="18">
        <v>2</v>
      </c>
      <c r="R65" s="18">
        <v>3</v>
      </c>
      <c r="S65" s="18">
        <v>2</v>
      </c>
      <c r="T65" s="18">
        <v>4</v>
      </c>
      <c r="U65" s="18">
        <v>2</v>
      </c>
      <c r="V65" s="18">
        <v>2</v>
      </c>
      <c r="W65" s="18">
        <v>4</v>
      </c>
      <c r="X65" s="18">
        <v>3</v>
      </c>
      <c r="Y65" s="18">
        <v>3</v>
      </c>
      <c r="Z65" s="18">
        <v>2</v>
      </c>
      <c r="AA65" s="18">
        <v>3</v>
      </c>
      <c r="AB65" s="18">
        <v>1</v>
      </c>
      <c r="AC65" s="18">
        <v>3</v>
      </c>
      <c r="AD65" s="18">
        <v>3</v>
      </c>
      <c r="AE65" s="18">
        <v>4</v>
      </c>
      <c r="AF65" s="18">
        <v>3</v>
      </c>
      <c r="AG65" s="18">
        <v>4</v>
      </c>
      <c r="AH65" s="87">
        <v>3</v>
      </c>
      <c r="AI65" s="18">
        <v>3</v>
      </c>
      <c r="AJ65" s="18">
        <v>3</v>
      </c>
      <c r="AK65" s="18">
        <v>3</v>
      </c>
      <c r="AL65" s="18">
        <v>1</v>
      </c>
      <c r="AM65" s="18">
        <v>2</v>
      </c>
      <c r="AN65" s="18">
        <v>3</v>
      </c>
      <c r="AO65" s="18">
        <v>2</v>
      </c>
      <c r="AP65" s="18">
        <v>7</v>
      </c>
      <c r="AQ65" s="18">
        <v>2</v>
      </c>
      <c r="AR65" s="18">
        <v>2</v>
      </c>
      <c r="AS65" s="18">
        <v>4</v>
      </c>
      <c r="AT65" s="24">
        <v>3</v>
      </c>
    </row>
    <row r="66" spans="1:46" ht="12.75" customHeight="1" x14ac:dyDescent="0.3">
      <c r="A66" s="121"/>
      <c r="B66" s="117">
        <v>46198</v>
      </c>
      <c r="C66" s="105">
        <v>0.58333333333333337</v>
      </c>
      <c r="D66" s="97" t="s">
        <v>94</v>
      </c>
      <c r="E66" s="130" t="s">
        <v>47</v>
      </c>
      <c r="F66" s="130" t="s">
        <v>45</v>
      </c>
      <c r="G66" s="128"/>
      <c r="H66" s="128"/>
      <c r="I66" s="134" t="str">
        <f t="shared" ref="I66" si="5">IF(G66="","-",IF(G66&gt;H66,"L",IF(G66=H66,"E",IF(G66&lt;H66,"V"))))</f>
        <v>-</v>
      </c>
      <c r="J66" s="26" t="s">
        <v>15</v>
      </c>
      <c r="K66" s="13" t="s">
        <v>15</v>
      </c>
      <c r="L66" s="13" t="s">
        <v>15</v>
      </c>
      <c r="M66" s="13" t="s">
        <v>16</v>
      </c>
      <c r="N66" s="13" t="s">
        <v>16</v>
      </c>
      <c r="O66" s="13" t="s">
        <v>7</v>
      </c>
      <c r="P66" s="13" t="s">
        <v>15</v>
      </c>
      <c r="Q66" s="13" t="s">
        <v>15</v>
      </c>
      <c r="R66" s="13" t="s">
        <v>15</v>
      </c>
      <c r="S66" s="13" t="s">
        <v>15</v>
      </c>
      <c r="T66" s="13" t="s">
        <v>15</v>
      </c>
      <c r="U66" s="13" t="s">
        <v>16</v>
      </c>
      <c r="V66" s="13" t="s">
        <v>15</v>
      </c>
      <c r="W66" s="13" t="s">
        <v>15</v>
      </c>
      <c r="X66" s="13" t="s">
        <v>15</v>
      </c>
      <c r="Y66" s="13" t="s">
        <v>15</v>
      </c>
      <c r="Z66" s="13" t="s">
        <v>16</v>
      </c>
      <c r="AA66" s="13" t="s">
        <v>15</v>
      </c>
      <c r="AB66" s="13" t="s">
        <v>7</v>
      </c>
      <c r="AC66" s="13" t="s">
        <v>15</v>
      </c>
      <c r="AD66" s="13" t="s">
        <v>15</v>
      </c>
      <c r="AE66" s="13" t="s">
        <v>15</v>
      </c>
      <c r="AF66" s="13" t="s">
        <v>15</v>
      </c>
      <c r="AG66" s="13" t="s">
        <v>16</v>
      </c>
      <c r="AH66" s="89" t="s">
        <v>15</v>
      </c>
      <c r="AI66" s="13" t="s">
        <v>15</v>
      </c>
      <c r="AJ66" s="13" t="s">
        <v>15</v>
      </c>
      <c r="AK66" s="13" t="s">
        <v>15</v>
      </c>
      <c r="AL66" s="13" t="s">
        <v>7</v>
      </c>
      <c r="AM66" s="13" t="s">
        <v>15</v>
      </c>
      <c r="AN66" s="13" t="s">
        <v>15</v>
      </c>
      <c r="AO66" s="13" t="s">
        <v>15</v>
      </c>
      <c r="AP66" s="13" t="s">
        <v>16</v>
      </c>
      <c r="AQ66" s="13" t="s">
        <v>15</v>
      </c>
      <c r="AR66" s="13" t="s">
        <v>15</v>
      </c>
      <c r="AS66" s="13" t="s">
        <v>7</v>
      </c>
      <c r="AT66" s="25" t="s">
        <v>15</v>
      </c>
    </row>
    <row r="67" spans="1:46" ht="12.75" customHeight="1" x14ac:dyDescent="0.3">
      <c r="A67" s="122"/>
      <c r="B67" s="106"/>
      <c r="C67" s="106"/>
      <c r="D67" s="98"/>
      <c r="E67" s="98"/>
      <c r="F67" s="98"/>
      <c r="G67" s="129"/>
      <c r="H67" s="129"/>
      <c r="I67" s="135"/>
      <c r="J67" s="26">
        <v>2</v>
      </c>
      <c r="K67" s="13">
        <v>2</v>
      </c>
      <c r="L67" s="13">
        <v>2</v>
      </c>
      <c r="M67" s="13">
        <v>0</v>
      </c>
      <c r="N67" s="13">
        <v>2</v>
      </c>
      <c r="O67" s="13">
        <v>2</v>
      </c>
      <c r="P67" s="13">
        <v>4</v>
      </c>
      <c r="Q67" s="13">
        <v>2</v>
      </c>
      <c r="R67" s="13">
        <v>2</v>
      </c>
      <c r="S67" s="13">
        <v>3</v>
      </c>
      <c r="T67" s="13">
        <v>3</v>
      </c>
      <c r="U67" s="13">
        <v>2</v>
      </c>
      <c r="V67" s="13">
        <v>3</v>
      </c>
      <c r="W67" s="13">
        <v>3</v>
      </c>
      <c r="X67" s="13">
        <v>2</v>
      </c>
      <c r="Y67" s="13">
        <v>2</v>
      </c>
      <c r="Z67" s="13">
        <v>0</v>
      </c>
      <c r="AA67" s="13">
        <v>2</v>
      </c>
      <c r="AB67" s="13">
        <v>2</v>
      </c>
      <c r="AC67" s="13">
        <v>3</v>
      </c>
      <c r="AD67" s="13">
        <v>2</v>
      </c>
      <c r="AE67" s="13">
        <v>3</v>
      </c>
      <c r="AF67" s="13">
        <v>3</v>
      </c>
      <c r="AG67" s="13">
        <v>0</v>
      </c>
      <c r="AH67" s="89">
        <v>2</v>
      </c>
      <c r="AI67" s="13">
        <v>2</v>
      </c>
      <c r="AJ67" s="13">
        <v>3</v>
      </c>
      <c r="AK67" s="13">
        <v>2</v>
      </c>
      <c r="AL67" s="13">
        <v>2</v>
      </c>
      <c r="AM67" s="13">
        <v>1</v>
      </c>
      <c r="AN67" s="13">
        <v>3</v>
      </c>
      <c r="AO67" s="13">
        <v>3</v>
      </c>
      <c r="AP67" s="13">
        <v>4</v>
      </c>
      <c r="AQ67" s="13">
        <v>3</v>
      </c>
      <c r="AR67" s="13">
        <v>3</v>
      </c>
      <c r="AS67" s="13">
        <v>2</v>
      </c>
      <c r="AT67" s="25">
        <v>3</v>
      </c>
    </row>
    <row r="68" spans="1:46" ht="12.75" customHeight="1" x14ac:dyDescent="0.3">
      <c r="A68" s="131" t="s">
        <v>21</v>
      </c>
      <c r="B68" s="116">
        <v>46187</v>
      </c>
      <c r="C68" s="107">
        <v>0.58333333333333337</v>
      </c>
      <c r="D68" s="99" t="s">
        <v>88</v>
      </c>
      <c r="E68" s="125" t="s">
        <v>53</v>
      </c>
      <c r="F68" s="125" t="s">
        <v>56</v>
      </c>
      <c r="G68" s="126">
        <v>2</v>
      </c>
      <c r="H68" s="126">
        <v>2</v>
      </c>
      <c r="I68" s="123" t="str">
        <f t="shared" ref="I68" si="6">IF(G68="","-",IF(G68&gt;H68,"L",IF(G68=H68,"E",IF(G68&lt;H68,"V"))))</f>
        <v>E</v>
      </c>
      <c r="J68" s="27" t="s">
        <v>16</v>
      </c>
      <c r="K68" s="19" t="s">
        <v>16</v>
      </c>
      <c r="L68" s="19" t="s">
        <v>7</v>
      </c>
      <c r="M68" s="19" t="s">
        <v>7</v>
      </c>
      <c r="N68" s="19" t="s">
        <v>16</v>
      </c>
      <c r="O68" s="19" t="s">
        <v>7</v>
      </c>
      <c r="P68" s="19" t="s">
        <v>7</v>
      </c>
      <c r="Q68" s="19" t="s">
        <v>16</v>
      </c>
      <c r="R68" s="19" t="s">
        <v>16</v>
      </c>
      <c r="S68" s="19" t="s">
        <v>16</v>
      </c>
      <c r="T68" s="19" t="s">
        <v>15</v>
      </c>
      <c r="U68" s="19" t="s">
        <v>16</v>
      </c>
      <c r="V68" s="19" t="s">
        <v>7</v>
      </c>
      <c r="W68" s="19" t="s">
        <v>16</v>
      </c>
      <c r="X68" s="19" t="s">
        <v>7</v>
      </c>
      <c r="Y68" s="19" t="s">
        <v>7</v>
      </c>
      <c r="Z68" s="19" t="s">
        <v>7</v>
      </c>
      <c r="AA68" s="19" t="s">
        <v>7</v>
      </c>
      <c r="AB68" s="19" t="s">
        <v>7</v>
      </c>
      <c r="AC68" s="19" t="s">
        <v>15</v>
      </c>
      <c r="AD68" s="19" t="s">
        <v>7</v>
      </c>
      <c r="AE68" s="19" t="s">
        <v>16</v>
      </c>
      <c r="AF68" s="19" t="s">
        <v>7</v>
      </c>
      <c r="AG68" s="19" t="s">
        <v>7</v>
      </c>
      <c r="AH68" s="91" t="s">
        <v>7</v>
      </c>
      <c r="AI68" s="19" t="s">
        <v>7</v>
      </c>
      <c r="AJ68" s="19" t="s">
        <v>15</v>
      </c>
      <c r="AK68" s="19" t="s">
        <v>7</v>
      </c>
      <c r="AL68" s="19" t="s">
        <v>7</v>
      </c>
      <c r="AM68" s="19" t="s">
        <v>7</v>
      </c>
      <c r="AN68" s="19" t="s">
        <v>7</v>
      </c>
      <c r="AO68" s="19" t="s">
        <v>7</v>
      </c>
      <c r="AP68" s="19" t="s">
        <v>7</v>
      </c>
      <c r="AQ68" s="19" t="s">
        <v>15</v>
      </c>
      <c r="AR68" s="19" t="s">
        <v>15</v>
      </c>
      <c r="AS68" s="19" t="s">
        <v>7</v>
      </c>
      <c r="AT68" s="28" t="s">
        <v>7</v>
      </c>
    </row>
    <row r="69" spans="1:46" ht="12.75" customHeight="1" x14ac:dyDescent="0.3">
      <c r="A69" s="132"/>
      <c r="B69" s="108"/>
      <c r="C69" s="108"/>
      <c r="D69" s="100"/>
      <c r="E69" s="100"/>
      <c r="F69" s="100"/>
      <c r="G69" s="127"/>
      <c r="H69" s="127"/>
      <c r="I69" s="124"/>
      <c r="J69" s="27">
        <v>2</v>
      </c>
      <c r="K69" s="19">
        <v>2</v>
      </c>
      <c r="L69" s="19">
        <v>2</v>
      </c>
      <c r="M69" s="19">
        <v>2</v>
      </c>
      <c r="N69" s="19">
        <v>2</v>
      </c>
      <c r="O69" s="19">
        <v>3</v>
      </c>
      <c r="P69" s="19">
        <v>4</v>
      </c>
      <c r="Q69" s="19">
        <v>4</v>
      </c>
      <c r="R69" s="19">
        <v>2</v>
      </c>
      <c r="S69" s="19">
        <v>4</v>
      </c>
      <c r="T69" s="19">
        <v>3</v>
      </c>
      <c r="U69" s="19">
        <v>2</v>
      </c>
      <c r="V69" s="19">
        <v>3</v>
      </c>
      <c r="W69" s="19">
        <v>2</v>
      </c>
      <c r="X69" s="19">
        <v>3</v>
      </c>
      <c r="Y69" s="19">
        <v>3</v>
      </c>
      <c r="Z69" s="19">
        <v>2</v>
      </c>
      <c r="AA69" s="19">
        <v>3</v>
      </c>
      <c r="AB69" s="19">
        <v>2</v>
      </c>
      <c r="AC69" s="19">
        <v>3</v>
      </c>
      <c r="AD69" s="19">
        <v>3</v>
      </c>
      <c r="AE69" s="19">
        <v>4</v>
      </c>
      <c r="AF69" s="19">
        <v>3</v>
      </c>
      <c r="AG69" s="19">
        <v>2</v>
      </c>
      <c r="AH69" s="91">
        <v>2</v>
      </c>
      <c r="AI69" s="19">
        <v>3</v>
      </c>
      <c r="AJ69" s="19">
        <v>3</v>
      </c>
      <c r="AK69" s="19">
        <v>3</v>
      </c>
      <c r="AL69" s="19">
        <v>3</v>
      </c>
      <c r="AM69" s="19">
        <v>3</v>
      </c>
      <c r="AN69" s="19">
        <v>3</v>
      </c>
      <c r="AO69" s="19">
        <v>5</v>
      </c>
      <c r="AP69" s="19">
        <v>3</v>
      </c>
      <c r="AQ69" s="19">
        <v>3</v>
      </c>
      <c r="AR69" s="19">
        <v>5</v>
      </c>
      <c r="AS69" s="19">
        <v>3</v>
      </c>
      <c r="AT69" s="28">
        <v>5</v>
      </c>
    </row>
    <row r="70" spans="1:46" ht="12.75" customHeight="1" x14ac:dyDescent="0.3">
      <c r="A70" s="132"/>
      <c r="B70" s="116">
        <v>46187</v>
      </c>
      <c r="C70" s="107">
        <v>0.83333333333333337</v>
      </c>
      <c r="D70" s="99" t="s">
        <v>83</v>
      </c>
      <c r="E70" s="125" t="s">
        <v>54</v>
      </c>
      <c r="F70" s="125" t="s">
        <v>55</v>
      </c>
      <c r="G70" s="126">
        <v>5</v>
      </c>
      <c r="H70" s="126">
        <v>1</v>
      </c>
      <c r="I70" s="123" t="str">
        <f t="shared" ref="I70" si="7">IF(G70="","-",IF(G70&gt;H70,"L",IF(G70=H70,"E",IF(G70&lt;H70,"V"))))</f>
        <v>L</v>
      </c>
      <c r="J70" s="26" t="s">
        <v>7</v>
      </c>
      <c r="K70" s="13" t="s">
        <v>7</v>
      </c>
      <c r="L70" s="13" t="s">
        <v>7</v>
      </c>
      <c r="M70" s="13" t="s">
        <v>7</v>
      </c>
      <c r="N70" s="13" t="s">
        <v>7</v>
      </c>
      <c r="O70" s="13" t="s">
        <v>7</v>
      </c>
      <c r="P70" s="13" t="s">
        <v>15</v>
      </c>
      <c r="Q70" s="13" t="s">
        <v>16</v>
      </c>
      <c r="R70" s="13" t="s">
        <v>7</v>
      </c>
      <c r="S70" s="13" t="s">
        <v>7</v>
      </c>
      <c r="T70" s="13" t="s">
        <v>7</v>
      </c>
      <c r="U70" s="13" t="s">
        <v>7</v>
      </c>
      <c r="V70" s="13" t="s">
        <v>16</v>
      </c>
      <c r="W70" s="13" t="s">
        <v>7</v>
      </c>
      <c r="X70" s="13" t="s">
        <v>7</v>
      </c>
      <c r="Y70" s="13" t="s">
        <v>7</v>
      </c>
      <c r="Z70" s="13" t="s">
        <v>16</v>
      </c>
      <c r="AA70" s="13" t="s">
        <v>7</v>
      </c>
      <c r="AB70" s="13" t="s">
        <v>7</v>
      </c>
      <c r="AC70" s="13" t="s">
        <v>7</v>
      </c>
      <c r="AD70" s="13" t="s">
        <v>7</v>
      </c>
      <c r="AE70" s="13" t="s">
        <v>7</v>
      </c>
      <c r="AF70" s="13" t="s">
        <v>7</v>
      </c>
      <c r="AG70" s="13" t="s">
        <v>16</v>
      </c>
      <c r="AH70" s="89" t="s">
        <v>7</v>
      </c>
      <c r="AI70" s="13" t="s">
        <v>7</v>
      </c>
      <c r="AJ70" s="13" t="s">
        <v>7</v>
      </c>
      <c r="AK70" s="13" t="s">
        <v>7</v>
      </c>
      <c r="AL70" s="13" t="s">
        <v>7</v>
      </c>
      <c r="AM70" s="13" t="s">
        <v>7</v>
      </c>
      <c r="AN70" s="13" t="s">
        <v>16</v>
      </c>
      <c r="AO70" s="13" t="s">
        <v>15</v>
      </c>
      <c r="AP70" s="13" t="s">
        <v>16</v>
      </c>
      <c r="AQ70" s="13" t="s">
        <v>7</v>
      </c>
      <c r="AR70" s="13" t="s">
        <v>15</v>
      </c>
      <c r="AS70" s="13" t="s">
        <v>7</v>
      </c>
      <c r="AT70" s="25" t="s">
        <v>16</v>
      </c>
    </row>
    <row r="71" spans="1:46" ht="12.75" customHeight="1" x14ac:dyDescent="0.3">
      <c r="A71" s="132"/>
      <c r="B71" s="108"/>
      <c r="C71" s="108"/>
      <c r="D71" s="100"/>
      <c r="E71" s="100"/>
      <c r="F71" s="100"/>
      <c r="G71" s="127"/>
      <c r="H71" s="127"/>
      <c r="I71" s="124"/>
      <c r="J71" s="26">
        <v>2</v>
      </c>
      <c r="K71" s="13">
        <v>2</v>
      </c>
      <c r="L71" s="13">
        <v>2</v>
      </c>
      <c r="M71" s="13">
        <v>3</v>
      </c>
      <c r="N71" s="13">
        <v>1</v>
      </c>
      <c r="O71" s="13">
        <v>2</v>
      </c>
      <c r="P71" s="13">
        <v>2</v>
      </c>
      <c r="Q71" s="13">
        <v>2</v>
      </c>
      <c r="R71" s="13">
        <v>1</v>
      </c>
      <c r="S71" s="13">
        <v>2</v>
      </c>
      <c r="T71" s="13">
        <v>2</v>
      </c>
      <c r="U71" s="13">
        <v>2</v>
      </c>
      <c r="V71" s="13">
        <v>2</v>
      </c>
      <c r="W71" s="13">
        <v>2</v>
      </c>
      <c r="X71" s="13">
        <v>2</v>
      </c>
      <c r="Y71" s="13">
        <v>2</v>
      </c>
      <c r="Z71" s="13">
        <v>2</v>
      </c>
      <c r="AA71" s="13">
        <v>1</v>
      </c>
      <c r="AB71" s="13">
        <v>2</v>
      </c>
      <c r="AC71" s="13">
        <v>3</v>
      </c>
      <c r="AD71" s="13">
        <v>3</v>
      </c>
      <c r="AE71" s="13">
        <v>4</v>
      </c>
      <c r="AF71" s="13">
        <v>3</v>
      </c>
      <c r="AG71" s="13">
        <v>1</v>
      </c>
      <c r="AH71" s="89">
        <v>2</v>
      </c>
      <c r="AI71" s="13">
        <v>1</v>
      </c>
      <c r="AJ71" s="13">
        <v>3</v>
      </c>
      <c r="AK71" s="13">
        <v>2</v>
      </c>
      <c r="AL71" s="13">
        <v>2</v>
      </c>
      <c r="AM71" s="13">
        <v>1</v>
      </c>
      <c r="AN71" s="13">
        <v>2</v>
      </c>
      <c r="AO71" s="13">
        <v>2</v>
      </c>
      <c r="AP71" s="13">
        <v>4</v>
      </c>
      <c r="AQ71" s="13">
        <v>2</v>
      </c>
      <c r="AR71" s="13">
        <v>1</v>
      </c>
      <c r="AS71" s="13">
        <v>3</v>
      </c>
      <c r="AT71" s="25">
        <v>2</v>
      </c>
    </row>
    <row r="72" spans="1:46" ht="12.75" customHeight="1" x14ac:dyDescent="0.3">
      <c r="A72" s="132"/>
      <c r="B72" s="116">
        <v>46193</v>
      </c>
      <c r="C72" s="107">
        <v>0.45833333333333331</v>
      </c>
      <c r="D72" s="99" t="s">
        <v>87</v>
      </c>
      <c r="E72" s="125" t="s">
        <v>53</v>
      </c>
      <c r="F72" s="125" t="s">
        <v>54</v>
      </c>
      <c r="G72" s="126">
        <v>5</v>
      </c>
      <c r="H72" s="126">
        <v>1</v>
      </c>
      <c r="I72" s="123" t="str">
        <f t="shared" ref="I72" si="8">IF(G72="","-",IF(G72&gt;H72,"L",IF(G72=H72,"E",IF(G72&lt;H72,"V"))))</f>
        <v>L</v>
      </c>
      <c r="J72" s="27" t="s">
        <v>7</v>
      </c>
      <c r="K72" s="19" t="s">
        <v>7</v>
      </c>
      <c r="L72" s="19" t="s">
        <v>16</v>
      </c>
      <c r="M72" s="19" t="s">
        <v>16</v>
      </c>
      <c r="N72" s="19" t="s">
        <v>7</v>
      </c>
      <c r="O72" s="19" t="s">
        <v>7</v>
      </c>
      <c r="P72" s="19" t="s">
        <v>7</v>
      </c>
      <c r="Q72" s="19" t="s">
        <v>7</v>
      </c>
      <c r="R72" s="19" t="s">
        <v>16</v>
      </c>
      <c r="S72" s="19" t="s">
        <v>7</v>
      </c>
      <c r="T72" s="19" t="s">
        <v>7</v>
      </c>
      <c r="U72" s="19" t="s">
        <v>16</v>
      </c>
      <c r="V72" s="19" t="s">
        <v>7</v>
      </c>
      <c r="W72" s="19" t="s">
        <v>7</v>
      </c>
      <c r="X72" s="19" t="s">
        <v>16</v>
      </c>
      <c r="Y72" s="19" t="s">
        <v>7</v>
      </c>
      <c r="Z72" s="19" t="s">
        <v>7</v>
      </c>
      <c r="AA72" s="19" t="s">
        <v>16</v>
      </c>
      <c r="AB72" s="19" t="s">
        <v>16</v>
      </c>
      <c r="AC72" s="19" t="s">
        <v>7</v>
      </c>
      <c r="AD72" s="19" t="s">
        <v>7</v>
      </c>
      <c r="AE72" s="19" t="s">
        <v>7</v>
      </c>
      <c r="AF72" s="19" t="s">
        <v>7</v>
      </c>
      <c r="AG72" s="19" t="s">
        <v>16</v>
      </c>
      <c r="AH72" s="91" t="s">
        <v>16</v>
      </c>
      <c r="AI72" s="19" t="s">
        <v>7</v>
      </c>
      <c r="AJ72" s="19" t="s">
        <v>16</v>
      </c>
      <c r="AK72" s="19" t="s">
        <v>7</v>
      </c>
      <c r="AL72" s="19" t="s">
        <v>16</v>
      </c>
      <c r="AM72" s="19" t="s">
        <v>7</v>
      </c>
      <c r="AN72" s="19" t="s">
        <v>7</v>
      </c>
      <c r="AO72" s="19" t="s">
        <v>7</v>
      </c>
      <c r="AP72" s="19" t="s">
        <v>7</v>
      </c>
      <c r="AQ72" s="19" t="s">
        <v>7</v>
      </c>
      <c r="AR72" s="19" t="s">
        <v>7</v>
      </c>
      <c r="AS72" s="19" t="s">
        <v>15</v>
      </c>
      <c r="AT72" s="28" t="s">
        <v>7</v>
      </c>
    </row>
    <row r="73" spans="1:46" ht="12.75" customHeight="1" x14ac:dyDescent="0.3">
      <c r="A73" s="132"/>
      <c r="B73" s="108"/>
      <c r="C73" s="108"/>
      <c r="D73" s="100"/>
      <c r="E73" s="100"/>
      <c r="F73" s="100"/>
      <c r="G73" s="127"/>
      <c r="H73" s="127"/>
      <c r="I73" s="124"/>
      <c r="J73" s="27">
        <v>3</v>
      </c>
      <c r="K73" s="19">
        <v>3</v>
      </c>
      <c r="L73" s="19">
        <v>2</v>
      </c>
      <c r="M73" s="19">
        <v>4</v>
      </c>
      <c r="N73" s="19">
        <v>2</v>
      </c>
      <c r="O73" s="19">
        <v>3</v>
      </c>
      <c r="P73" s="19">
        <v>3</v>
      </c>
      <c r="Q73" s="19">
        <v>3</v>
      </c>
      <c r="R73" s="19">
        <v>2</v>
      </c>
      <c r="S73" s="19">
        <v>2</v>
      </c>
      <c r="T73" s="19">
        <v>3</v>
      </c>
      <c r="U73" s="19">
        <v>2</v>
      </c>
      <c r="V73" s="19">
        <v>2</v>
      </c>
      <c r="W73" s="19">
        <v>3</v>
      </c>
      <c r="X73" s="19">
        <v>2</v>
      </c>
      <c r="Y73" s="19">
        <v>2</v>
      </c>
      <c r="Z73" s="19">
        <v>3</v>
      </c>
      <c r="AA73" s="19">
        <v>4</v>
      </c>
      <c r="AB73" s="19">
        <v>4</v>
      </c>
      <c r="AC73" s="19">
        <v>3</v>
      </c>
      <c r="AD73" s="19">
        <v>3</v>
      </c>
      <c r="AE73" s="19">
        <v>2</v>
      </c>
      <c r="AF73" s="19">
        <v>2</v>
      </c>
      <c r="AG73" s="19">
        <v>0</v>
      </c>
      <c r="AH73" s="91">
        <v>2</v>
      </c>
      <c r="AI73" s="19">
        <v>2</v>
      </c>
      <c r="AJ73" s="19">
        <v>4</v>
      </c>
      <c r="AK73" s="19">
        <v>2</v>
      </c>
      <c r="AL73" s="19">
        <v>4</v>
      </c>
      <c r="AM73" s="19">
        <v>3</v>
      </c>
      <c r="AN73" s="19">
        <v>2</v>
      </c>
      <c r="AO73" s="19">
        <v>3</v>
      </c>
      <c r="AP73" s="19">
        <v>5</v>
      </c>
      <c r="AQ73" s="19">
        <v>3</v>
      </c>
      <c r="AR73" s="19">
        <v>2</v>
      </c>
      <c r="AS73" s="19">
        <v>3</v>
      </c>
      <c r="AT73" s="28">
        <v>4</v>
      </c>
    </row>
    <row r="74" spans="1:46" ht="12.75" customHeight="1" x14ac:dyDescent="0.3">
      <c r="A74" s="132"/>
      <c r="B74" s="116">
        <v>46193</v>
      </c>
      <c r="C74" s="107">
        <v>0.91666666666666663</v>
      </c>
      <c r="D74" s="99" t="s">
        <v>83</v>
      </c>
      <c r="E74" s="125" t="s">
        <v>55</v>
      </c>
      <c r="F74" s="125" t="s">
        <v>56</v>
      </c>
      <c r="G74" s="126">
        <v>0</v>
      </c>
      <c r="H74" s="126">
        <v>4</v>
      </c>
      <c r="I74" s="123" t="str">
        <f t="shared" ref="I74" si="9">IF(G74="","-",IF(G74&gt;H74,"L",IF(G74=H74,"E",IF(G74&lt;H74,"V"))))</f>
        <v>V</v>
      </c>
      <c r="J74" s="26" t="s">
        <v>15</v>
      </c>
      <c r="K74" s="13" t="s">
        <v>15</v>
      </c>
      <c r="L74" s="13" t="s">
        <v>15</v>
      </c>
      <c r="M74" s="13" t="s">
        <v>15</v>
      </c>
      <c r="N74" s="13" t="s">
        <v>15</v>
      </c>
      <c r="O74" s="13" t="s">
        <v>15</v>
      </c>
      <c r="P74" s="13" t="s">
        <v>15</v>
      </c>
      <c r="Q74" s="13" t="s">
        <v>15</v>
      </c>
      <c r="R74" s="13" t="s">
        <v>15</v>
      </c>
      <c r="S74" s="13" t="s">
        <v>15</v>
      </c>
      <c r="T74" s="13" t="s">
        <v>15</v>
      </c>
      <c r="U74" s="13" t="s">
        <v>15</v>
      </c>
      <c r="V74" s="13" t="s">
        <v>15</v>
      </c>
      <c r="W74" s="13" t="s">
        <v>15</v>
      </c>
      <c r="X74" s="13" t="s">
        <v>15</v>
      </c>
      <c r="Y74" s="13" t="s">
        <v>15</v>
      </c>
      <c r="Z74" s="13" t="s">
        <v>15</v>
      </c>
      <c r="AA74" s="13" t="s">
        <v>15</v>
      </c>
      <c r="AB74" s="13" t="s">
        <v>15</v>
      </c>
      <c r="AC74" s="13" t="s">
        <v>15</v>
      </c>
      <c r="AD74" s="13" t="s">
        <v>15</v>
      </c>
      <c r="AE74" s="13" t="s">
        <v>15</v>
      </c>
      <c r="AF74" s="13" t="s">
        <v>16</v>
      </c>
      <c r="AG74" s="13" t="s">
        <v>15</v>
      </c>
      <c r="AH74" s="89" t="s">
        <v>16</v>
      </c>
      <c r="AI74" s="13" t="s">
        <v>15</v>
      </c>
      <c r="AJ74" s="13" t="s">
        <v>15</v>
      </c>
      <c r="AK74" s="13" t="s">
        <v>16</v>
      </c>
      <c r="AL74" s="13" t="s">
        <v>15</v>
      </c>
      <c r="AM74" s="13" t="s">
        <v>15</v>
      </c>
      <c r="AN74" s="13" t="s">
        <v>15</v>
      </c>
      <c r="AO74" s="13" t="s">
        <v>16</v>
      </c>
      <c r="AP74" s="13" t="s">
        <v>15</v>
      </c>
      <c r="AQ74" s="13" t="s">
        <v>15</v>
      </c>
      <c r="AR74" s="13" t="s">
        <v>15</v>
      </c>
      <c r="AS74" s="13" t="s">
        <v>15</v>
      </c>
      <c r="AT74" s="25" t="s">
        <v>16</v>
      </c>
    </row>
    <row r="75" spans="1:46" ht="12.75" customHeight="1" x14ac:dyDescent="0.3">
      <c r="A75" s="132"/>
      <c r="B75" s="108"/>
      <c r="C75" s="108"/>
      <c r="D75" s="100"/>
      <c r="E75" s="100"/>
      <c r="F75" s="100"/>
      <c r="G75" s="127"/>
      <c r="H75" s="127"/>
      <c r="I75" s="124"/>
      <c r="J75" s="26">
        <v>2</v>
      </c>
      <c r="K75" s="13">
        <v>2</v>
      </c>
      <c r="L75" s="13">
        <v>2</v>
      </c>
      <c r="M75" s="13">
        <v>3</v>
      </c>
      <c r="N75" s="13">
        <v>3</v>
      </c>
      <c r="O75" s="13">
        <v>3</v>
      </c>
      <c r="P75" s="13">
        <v>3</v>
      </c>
      <c r="Q75" s="13">
        <v>2</v>
      </c>
      <c r="R75" s="13">
        <v>1</v>
      </c>
      <c r="S75" s="13">
        <v>2</v>
      </c>
      <c r="T75" s="13">
        <v>3</v>
      </c>
      <c r="U75" s="13">
        <v>2</v>
      </c>
      <c r="V75" s="13">
        <v>1</v>
      </c>
      <c r="W75" s="13">
        <v>3</v>
      </c>
      <c r="X75" s="13">
        <v>2</v>
      </c>
      <c r="Y75" s="13">
        <v>3</v>
      </c>
      <c r="Z75" s="13">
        <v>2</v>
      </c>
      <c r="AA75" s="13">
        <v>3</v>
      </c>
      <c r="AB75" s="13">
        <v>2</v>
      </c>
      <c r="AC75" s="13">
        <v>3</v>
      </c>
      <c r="AD75" s="13">
        <v>2</v>
      </c>
      <c r="AE75" s="13">
        <v>3</v>
      </c>
      <c r="AF75" s="13">
        <v>1</v>
      </c>
      <c r="AG75" s="13">
        <v>1</v>
      </c>
      <c r="AH75" s="89">
        <v>2</v>
      </c>
      <c r="AI75" s="13">
        <v>1</v>
      </c>
      <c r="AJ75" s="13">
        <v>2</v>
      </c>
      <c r="AK75" s="13">
        <v>2</v>
      </c>
      <c r="AL75" s="13">
        <v>2</v>
      </c>
      <c r="AM75" s="13">
        <v>3</v>
      </c>
      <c r="AN75" s="13">
        <v>3</v>
      </c>
      <c r="AO75" s="13">
        <v>4</v>
      </c>
      <c r="AP75" s="13">
        <v>3</v>
      </c>
      <c r="AQ75" s="13">
        <v>3</v>
      </c>
      <c r="AR75" s="13">
        <v>3</v>
      </c>
      <c r="AS75" s="13">
        <v>2</v>
      </c>
      <c r="AT75" s="25">
        <v>2</v>
      </c>
    </row>
    <row r="76" spans="1:46" ht="12.75" customHeight="1" x14ac:dyDescent="0.3">
      <c r="A76" s="132"/>
      <c r="B76" s="116">
        <v>46198</v>
      </c>
      <c r="C76" s="107">
        <v>0.70833333333333337</v>
      </c>
      <c r="D76" s="99" t="s">
        <v>88</v>
      </c>
      <c r="E76" s="125" t="s">
        <v>56</v>
      </c>
      <c r="F76" s="125" t="s">
        <v>54</v>
      </c>
      <c r="G76" s="126"/>
      <c r="H76" s="126"/>
      <c r="I76" s="123" t="str">
        <f t="shared" ref="I76" si="10">IF(G76="","-",IF(G76&gt;H76,"L",IF(G76=H76,"E",IF(G76&lt;H76,"V"))))</f>
        <v>-</v>
      </c>
      <c r="J76" s="27" t="s">
        <v>16</v>
      </c>
      <c r="K76" s="19" t="s">
        <v>7</v>
      </c>
      <c r="L76" s="19" t="s">
        <v>15</v>
      </c>
      <c r="M76" s="19" t="s">
        <v>7</v>
      </c>
      <c r="N76" s="19" t="s">
        <v>7</v>
      </c>
      <c r="O76" s="19" t="s">
        <v>16</v>
      </c>
      <c r="P76" s="19" t="s">
        <v>7</v>
      </c>
      <c r="Q76" s="19" t="s">
        <v>7</v>
      </c>
      <c r="R76" s="19" t="s">
        <v>7</v>
      </c>
      <c r="S76" s="19" t="s">
        <v>16</v>
      </c>
      <c r="T76" s="19" t="s">
        <v>7</v>
      </c>
      <c r="U76" s="19" t="s">
        <v>16</v>
      </c>
      <c r="V76" s="19" t="s">
        <v>16</v>
      </c>
      <c r="W76" s="19" t="s">
        <v>16</v>
      </c>
      <c r="X76" s="19" t="s">
        <v>16</v>
      </c>
      <c r="Y76" s="19" t="s">
        <v>16</v>
      </c>
      <c r="Z76" s="19" t="s">
        <v>7</v>
      </c>
      <c r="AA76" s="19" t="s">
        <v>16</v>
      </c>
      <c r="AB76" s="19" t="s">
        <v>16</v>
      </c>
      <c r="AC76" s="19" t="s">
        <v>7</v>
      </c>
      <c r="AD76" s="19" t="s">
        <v>7</v>
      </c>
      <c r="AE76" s="19" t="s">
        <v>15</v>
      </c>
      <c r="AF76" s="19" t="s">
        <v>15</v>
      </c>
      <c r="AG76" s="19" t="s">
        <v>7</v>
      </c>
      <c r="AH76" s="91" t="s">
        <v>16</v>
      </c>
      <c r="AI76" s="19" t="s">
        <v>7</v>
      </c>
      <c r="AJ76" s="19" t="s">
        <v>15</v>
      </c>
      <c r="AK76" s="19" t="s">
        <v>16</v>
      </c>
      <c r="AL76" s="19" t="s">
        <v>16</v>
      </c>
      <c r="AM76" s="19" t="s">
        <v>7</v>
      </c>
      <c r="AN76" s="19" t="s">
        <v>16</v>
      </c>
      <c r="AO76" s="19" t="s">
        <v>7</v>
      </c>
      <c r="AP76" s="19" t="s">
        <v>16</v>
      </c>
      <c r="AQ76" s="19" t="s">
        <v>7</v>
      </c>
      <c r="AR76" s="19" t="s">
        <v>7</v>
      </c>
      <c r="AS76" s="19" t="s">
        <v>16</v>
      </c>
      <c r="AT76" s="28" t="s">
        <v>15</v>
      </c>
    </row>
    <row r="77" spans="1:46" ht="12.75" customHeight="1" x14ac:dyDescent="0.3">
      <c r="A77" s="132"/>
      <c r="B77" s="108"/>
      <c r="C77" s="108"/>
      <c r="D77" s="100"/>
      <c r="E77" s="100"/>
      <c r="F77" s="100"/>
      <c r="G77" s="127"/>
      <c r="H77" s="127"/>
      <c r="I77" s="124"/>
      <c r="J77" s="27">
        <v>1</v>
      </c>
      <c r="K77" s="19">
        <v>2</v>
      </c>
      <c r="L77" s="19">
        <v>1</v>
      </c>
      <c r="M77" s="19">
        <v>1</v>
      </c>
      <c r="N77" s="19">
        <v>1</v>
      </c>
      <c r="O77" s="19">
        <v>2</v>
      </c>
      <c r="P77" s="19">
        <v>2</v>
      </c>
      <c r="Q77" s="19">
        <v>3</v>
      </c>
      <c r="R77" s="19">
        <v>2</v>
      </c>
      <c r="S77" s="19">
        <v>2</v>
      </c>
      <c r="T77" s="19">
        <v>2</v>
      </c>
      <c r="U77" s="19">
        <v>2</v>
      </c>
      <c r="V77" s="19">
        <v>2</v>
      </c>
      <c r="W77" s="19">
        <v>4</v>
      </c>
      <c r="X77" s="19">
        <v>2</v>
      </c>
      <c r="Y77" s="19">
        <v>2</v>
      </c>
      <c r="Z77" s="19">
        <v>3</v>
      </c>
      <c r="AA77" s="19">
        <v>2</v>
      </c>
      <c r="AB77" s="19">
        <v>2</v>
      </c>
      <c r="AC77" s="19">
        <v>3</v>
      </c>
      <c r="AD77" s="19">
        <v>3</v>
      </c>
      <c r="AE77" s="19">
        <v>3</v>
      </c>
      <c r="AF77" s="19">
        <v>2</v>
      </c>
      <c r="AG77" s="19">
        <v>1</v>
      </c>
      <c r="AH77" s="91">
        <v>2</v>
      </c>
      <c r="AI77" s="19">
        <v>3</v>
      </c>
      <c r="AJ77" s="19">
        <v>1</v>
      </c>
      <c r="AK77" s="19">
        <v>2</v>
      </c>
      <c r="AL77" s="19">
        <v>2</v>
      </c>
      <c r="AM77" s="19">
        <v>1</v>
      </c>
      <c r="AN77" s="19">
        <v>2</v>
      </c>
      <c r="AO77" s="19">
        <v>3</v>
      </c>
      <c r="AP77" s="19">
        <v>4</v>
      </c>
      <c r="AQ77" s="19">
        <v>1</v>
      </c>
      <c r="AR77" s="19">
        <v>2</v>
      </c>
      <c r="AS77" s="19">
        <v>4</v>
      </c>
      <c r="AT77" s="28">
        <v>4</v>
      </c>
    </row>
    <row r="78" spans="1:46" ht="12.75" customHeight="1" x14ac:dyDescent="0.3">
      <c r="A78" s="132"/>
      <c r="B78" s="116">
        <v>46198</v>
      </c>
      <c r="C78" s="107">
        <v>0.70833333333333337</v>
      </c>
      <c r="D78" s="99" t="s">
        <v>93</v>
      </c>
      <c r="E78" s="125" t="s">
        <v>55</v>
      </c>
      <c r="F78" s="125" t="s">
        <v>53</v>
      </c>
      <c r="G78" s="126"/>
      <c r="H78" s="126"/>
      <c r="I78" s="123" t="str">
        <f t="shared" ref="I78" si="11">IF(G78="","-",IF(G78&gt;H78,"L",IF(G78=H78,"E",IF(G78&lt;H78,"V"))))</f>
        <v>-</v>
      </c>
      <c r="J78" s="26" t="s">
        <v>15</v>
      </c>
      <c r="K78" s="13" t="s">
        <v>15</v>
      </c>
      <c r="L78" s="13" t="s">
        <v>15</v>
      </c>
      <c r="M78" s="13" t="s">
        <v>15</v>
      </c>
      <c r="N78" s="13" t="s">
        <v>15</v>
      </c>
      <c r="O78" s="13" t="s">
        <v>15</v>
      </c>
      <c r="P78" s="13" t="s">
        <v>15</v>
      </c>
      <c r="Q78" s="13" t="s">
        <v>15</v>
      </c>
      <c r="R78" s="13" t="s">
        <v>15</v>
      </c>
      <c r="S78" s="13" t="s">
        <v>15</v>
      </c>
      <c r="T78" s="13" t="s">
        <v>15</v>
      </c>
      <c r="U78" s="13" t="s">
        <v>15</v>
      </c>
      <c r="V78" s="13" t="s">
        <v>15</v>
      </c>
      <c r="W78" s="13" t="s">
        <v>15</v>
      </c>
      <c r="X78" s="13" t="s">
        <v>15</v>
      </c>
      <c r="Y78" s="13" t="s">
        <v>15</v>
      </c>
      <c r="Z78" s="13" t="s">
        <v>15</v>
      </c>
      <c r="AA78" s="13" t="s">
        <v>15</v>
      </c>
      <c r="AB78" s="13" t="s">
        <v>15</v>
      </c>
      <c r="AC78" s="13" t="s">
        <v>15</v>
      </c>
      <c r="AD78" s="13" t="s">
        <v>15</v>
      </c>
      <c r="AE78" s="13" t="s">
        <v>15</v>
      </c>
      <c r="AF78" s="13" t="s">
        <v>15</v>
      </c>
      <c r="AG78" s="13" t="s">
        <v>15</v>
      </c>
      <c r="AH78" s="89" t="s">
        <v>15</v>
      </c>
      <c r="AI78" s="13" t="s">
        <v>15</v>
      </c>
      <c r="AJ78" s="13" t="s">
        <v>15</v>
      </c>
      <c r="AK78" s="13" t="s">
        <v>15</v>
      </c>
      <c r="AL78" s="13" t="s">
        <v>15</v>
      </c>
      <c r="AM78" s="13" t="s">
        <v>15</v>
      </c>
      <c r="AN78" s="13" t="s">
        <v>15</v>
      </c>
      <c r="AO78" s="13" t="s">
        <v>15</v>
      </c>
      <c r="AP78" s="13" t="s">
        <v>15</v>
      </c>
      <c r="AQ78" s="13" t="s">
        <v>15</v>
      </c>
      <c r="AR78" s="13" t="s">
        <v>16</v>
      </c>
      <c r="AS78" s="13" t="s">
        <v>15</v>
      </c>
      <c r="AT78" s="25" t="s">
        <v>15</v>
      </c>
    </row>
    <row r="79" spans="1:46" ht="12.75" customHeight="1" x14ac:dyDescent="0.3">
      <c r="A79" s="133"/>
      <c r="B79" s="108"/>
      <c r="C79" s="108"/>
      <c r="D79" s="100"/>
      <c r="E79" s="100"/>
      <c r="F79" s="100"/>
      <c r="G79" s="127"/>
      <c r="H79" s="127"/>
      <c r="I79" s="124"/>
      <c r="J79" s="92">
        <v>2</v>
      </c>
      <c r="K79" s="14">
        <v>3</v>
      </c>
      <c r="L79" s="14">
        <v>2</v>
      </c>
      <c r="M79" s="14">
        <v>3</v>
      </c>
      <c r="N79" s="14">
        <v>3</v>
      </c>
      <c r="O79" s="14">
        <v>4</v>
      </c>
      <c r="P79" s="14">
        <v>3</v>
      </c>
      <c r="Q79" s="14">
        <v>3</v>
      </c>
      <c r="R79" s="14">
        <v>3</v>
      </c>
      <c r="S79" s="14">
        <v>2</v>
      </c>
      <c r="T79" s="14">
        <v>3</v>
      </c>
      <c r="U79" s="14">
        <v>2</v>
      </c>
      <c r="V79" s="14">
        <v>3</v>
      </c>
      <c r="W79" s="14">
        <v>3</v>
      </c>
      <c r="X79" s="14">
        <v>3</v>
      </c>
      <c r="Y79" s="14">
        <v>3</v>
      </c>
      <c r="Z79" s="14">
        <v>3</v>
      </c>
      <c r="AA79" s="14">
        <v>2</v>
      </c>
      <c r="AB79" s="14">
        <v>4</v>
      </c>
      <c r="AC79" s="14">
        <v>2</v>
      </c>
      <c r="AD79" s="14">
        <v>2</v>
      </c>
      <c r="AE79" s="14">
        <v>5</v>
      </c>
      <c r="AF79" s="14">
        <v>2</v>
      </c>
      <c r="AG79" s="14">
        <v>1</v>
      </c>
      <c r="AH79" s="93">
        <v>3</v>
      </c>
      <c r="AI79" s="14">
        <v>2</v>
      </c>
      <c r="AJ79" s="14">
        <v>2</v>
      </c>
      <c r="AK79" s="14">
        <v>3</v>
      </c>
      <c r="AL79" s="14">
        <v>4</v>
      </c>
      <c r="AM79" s="14">
        <v>3</v>
      </c>
      <c r="AN79" s="14">
        <v>3</v>
      </c>
      <c r="AO79" s="14">
        <v>3</v>
      </c>
      <c r="AP79" s="14">
        <v>2</v>
      </c>
      <c r="AQ79" s="14">
        <v>3</v>
      </c>
      <c r="AR79" s="14">
        <v>4</v>
      </c>
      <c r="AS79" s="14">
        <v>3</v>
      </c>
      <c r="AT79" s="29">
        <v>5</v>
      </c>
    </row>
    <row r="80" spans="1:46" ht="12.75" customHeight="1" x14ac:dyDescent="0.3">
      <c r="A80" s="120" t="s">
        <v>48</v>
      </c>
      <c r="B80" s="117">
        <v>46188</v>
      </c>
      <c r="C80" s="105">
        <v>0.79166666666666663</v>
      </c>
      <c r="D80" s="97" t="s">
        <v>82</v>
      </c>
      <c r="E80" s="130" t="s">
        <v>57</v>
      </c>
      <c r="F80" s="130" t="s">
        <v>58</v>
      </c>
      <c r="G80" s="128">
        <v>2</v>
      </c>
      <c r="H80" s="128">
        <v>2</v>
      </c>
      <c r="I80" s="134" t="str">
        <f>IF(G80="","-",IF(G80&gt;H80,"L",IF(G80=H80,"E",IF(G80&lt;H80,"V"))))</f>
        <v>E</v>
      </c>
      <c r="J80" s="23" t="s">
        <v>7</v>
      </c>
      <c r="K80" s="18" t="s">
        <v>7</v>
      </c>
      <c r="L80" s="18" t="s">
        <v>7</v>
      </c>
      <c r="M80" s="18" t="s">
        <v>16</v>
      </c>
      <c r="N80" s="18" t="s">
        <v>7</v>
      </c>
      <c r="O80" s="18" t="s">
        <v>7</v>
      </c>
      <c r="P80" s="18" t="s">
        <v>16</v>
      </c>
      <c r="Q80" s="18" t="s">
        <v>16</v>
      </c>
      <c r="R80" s="18" t="s">
        <v>16</v>
      </c>
      <c r="S80" s="18" t="s">
        <v>16</v>
      </c>
      <c r="T80" s="18" t="s">
        <v>15</v>
      </c>
      <c r="U80" s="18" t="s">
        <v>16</v>
      </c>
      <c r="V80" s="18" t="s">
        <v>7</v>
      </c>
      <c r="W80" s="18" t="s">
        <v>16</v>
      </c>
      <c r="X80" s="18" t="s">
        <v>16</v>
      </c>
      <c r="Y80" s="18" t="s">
        <v>7</v>
      </c>
      <c r="Z80" s="18" t="s">
        <v>16</v>
      </c>
      <c r="AA80" s="18" t="s">
        <v>7</v>
      </c>
      <c r="AB80" s="18" t="s">
        <v>7</v>
      </c>
      <c r="AC80" s="18" t="s">
        <v>15</v>
      </c>
      <c r="AD80" s="18" t="s">
        <v>7</v>
      </c>
      <c r="AE80" s="18" t="s">
        <v>7</v>
      </c>
      <c r="AF80" s="18" t="s">
        <v>16</v>
      </c>
      <c r="AG80" s="18" t="s">
        <v>16</v>
      </c>
      <c r="AH80" s="87" t="s">
        <v>16</v>
      </c>
      <c r="AI80" s="18" t="s">
        <v>7</v>
      </c>
      <c r="AJ80" s="18" t="s">
        <v>16</v>
      </c>
      <c r="AK80" s="18" t="s">
        <v>7</v>
      </c>
      <c r="AL80" s="18" t="s">
        <v>7</v>
      </c>
      <c r="AM80" s="18" t="s">
        <v>7</v>
      </c>
      <c r="AN80" s="18" t="s">
        <v>7</v>
      </c>
      <c r="AO80" s="18" t="s">
        <v>7</v>
      </c>
      <c r="AP80" s="18" t="s">
        <v>7</v>
      </c>
      <c r="AQ80" s="18" t="s">
        <v>7</v>
      </c>
      <c r="AR80" s="18" t="s">
        <v>7</v>
      </c>
      <c r="AS80" s="18" t="s">
        <v>7</v>
      </c>
      <c r="AT80" s="24" t="s">
        <v>15</v>
      </c>
    </row>
    <row r="81" spans="1:46" ht="12.75" customHeight="1" x14ac:dyDescent="0.3">
      <c r="A81" s="121"/>
      <c r="B81" s="106"/>
      <c r="C81" s="106"/>
      <c r="D81" s="98"/>
      <c r="E81" s="98"/>
      <c r="F81" s="98"/>
      <c r="G81" s="129"/>
      <c r="H81" s="129"/>
      <c r="I81" s="135"/>
      <c r="J81" s="23">
        <v>2</v>
      </c>
      <c r="K81" s="18">
        <v>1</v>
      </c>
      <c r="L81" s="18">
        <v>2</v>
      </c>
      <c r="M81" s="18">
        <v>2</v>
      </c>
      <c r="N81" s="18">
        <v>1</v>
      </c>
      <c r="O81" s="18">
        <v>1</v>
      </c>
      <c r="P81" s="18">
        <v>4</v>
      </c>
      <c r="Q81" s="18">
        <v>2</v>
      </c>
      <c r="R81" s="18">
        <v>0</v>
      </c>
      <c r="S81" s="18">
        <v>2</v>
      </c>
      <c r="T81" s="18">
        <v>3</v>
      </c>
      <c r="U81" s="18">
        <v>2</v>
      </c>
      <c r="V81" s="18">
        <v>2</v>
      </c>
      <c r="W81" s="18">
        <v>2</v>
      </c>
      <c r="X81" s="18">
        <v>2</v>
      </c>
      <c r="Y81" s="18">
        <v>2</v>
      </c>
      <c r="Z81" s="18">
        <v>2</v>
      </c>
      <c r="AA81" s="18">
        <v>1</v>
      </c>
      <c r="AB81" s="18">
        <v>1</v>
      </c>
      <c r="AC81" s="18">
        <v>1</v>
      </c>
      <c r="AD81" s="18">
        <v>1</v>
      </c>
      <c r="AE81" s="18">
        <v>3</v>
      </c>
      <c r="AF81" s="18">
        <v>1</v>
      </c>
      <c r="AG81" s="18">
        <v>2</v>
      </c>
      <c r="AH81" s="87">
        <v>2</v>
      </c>
      <c r="AI81" s="18">
        <v>2</v>
      </c>
      <c r="AJ81" s="18">
        <v>0</v>
      </c>
      <c r="AK81" s="18">
        <v>2</v>
      </c>
      <c r="AL81" s="18">
        <v>1</v>
      </c>
      <c r="AM81" s="18">
        <v>1</v>
      </c>
      <c r="AN81" s="18">
        <v>2</v>
      </c>
      <c r="AO81" s="18">
        <v>3</v>
      </c>
      <c r="AP81" s="18">
        <v>3</v>
      </c>
      <c r="AQ81" s="18">
        <v>1</v>
      </c>
      <c r="AR81" s="18">
        <v>1</v>
      </c>
      <c r="AS81" s="18">
        <v>1</v>
      </c>
      <c r="AT81" s="24">
        <v>3</v>
      </c>
    </row>
    <row r="82" spans="1:46" ht="12.75" customHeight="1" x14ac:dyDescent="0.3">
      <c r="A82" s="121"/>
      <c r="B82" s="117">
        <v>46188</v>
      </c>
      <c r="C82" s="105">
        <v>0.54166666666666663</v>
      </c>
      <c r="D82" s="97" t="s">
        <v>86</v>
      </c>
      <c r="E82" s="130" t="s">
        <v>29</v>
      </c>
      <c r="F82" s="130" t="s">
        <v>59</v>
      </c>
      <c r="G82" s="128">
        <v>1</v>
      </c>
      <c r="H82" s="128">
        <v>1</v>
      </c>
      <c r="I82" s="134" t="str">
        <f t="shared" ref="I82" si="12">IF(G82="","-",IF(G82&gt;H82,"L",IF(G82=H82,"E",IF(G82&lt;H82,"V"))))</f>
        <v>E</v>
      </c>
      <c r="J82" s="26" t="s">
        <v>16</v>
      </c>
      <c r="K82" s="13" t="s">
        <v>7</v>
      </c>
      <c r="L82" s="13" t="s">
        <v>7</v>
      </c>
      <c r="M82" s="13" t="s">
        <v>7</v>
      </c>
      <c r="N82" s="13" t="s">
        <v>16</v>
      </c>
      <c r="O82" s="13" t="s">
        <v>7</v>
      </c>
      <c r="P82" s="13" t="s">
        <v>7</v>
      </c>
      <c r="Q82" s="13" t="s">
        <v>7</v>
      </c>
      <c r="R82" s="13" t="s">
        <v>7</v>
      </c>
      <c r="S82" s="13" t="s">
        <v>7</v>
      </c>
      <c r="T82" s="13" t="s">
        <v>7</v>
      </c>
      <c r="U82" s="13" t="s">
        <v>7</v>
      </c>
      <c r="V82" s="13" t="s">
        <v>7</v>
      </c>
      <c r="W82" s="13" t="s">
        <v>7</v>
      </c>
      <c r="X82" s="13" t="s">
        <v>7</v>
      </c>
      <c r="Y82" s="13" t="s">
        <v>7</v>
      </c>
      <c r="Z82" s="13" t="s">
        <v>7</v>
      </c>
      <c r="AA82" s="13" t="s">
        <v>7</v>
      </c>
      <c r="AB82" s="13" t="s">
        <v>7</v>
      </c>
      <c r="AC82" s="13" t="s">
        <v>7</v>
      </c>
      <c r="AD82" s="13" t="s">
        <v>7</v>
      </c>
      <c r="AE82" s="13" t="s">
        <v>7</v>
      </c>
      <c r="AF82" s="13" t="s">
        <v>7</v>
      </c>
      <c r="AG82" s="13" t="s">
        <v>7</v>
      </c>
      <c r="AH82" s="89" t="s">
        <v>7</v>
      </c>
      <c r="AI82" s="13" t="s">
        <v>7</v>
      </c>
      <c r="AJ82" s="13" t="s">
        <v>7</v>
      </c>
      <c r="AK82" s="13" t="s">
        <v>7</v>
      </c>
      <c r="AL82" s="13" t="s">
        <v>7</v>
      </c>
      <c r="AM82" s="13" t="s">
        <v>7</v>
      </c>
      <c r="AN82" s="13" t="s">
        <v>7</v>
      </c>
      <c r="AO82" s="13" t="s">
        <v>7</v>
      </c>
      <c r="AP82" s="13" t="s">
        <v>7</v>
      </c>
      <c r="AQ82" s="13" t="s">
        <v>7</v>
      </c>
      <c r="AR82" s="13" t="s">
        <v>16</v>
      </c>
      <c r="AS82" s="13" t="s">
        <v>7</v>
      </c>
      <c r="AT82" s="25" t="s">
        <v>7</v>
      </c>
    </row>
    <row r="83" spans="1:46" ht="12.75" customHeight="1" x14ac:dyDescent="0.3">
      <c r="A83" s="121"/>
      <c r="B83" s="106"/>
      <c r="C83" s="106"/>
      <c r="D83" s="98"/>
      <c r="E83" s="98"/>
      <c r="F83" s="98"/>
      <c r="G83" s="129"/>
      <c r="H83" s="129"/>
      <c r="I83" s="135"/>
      <c r="J83" s="26">
        <v>2</v>
      </c>
      <c r="K83" s="13">
        <v>3</v>
      </c>
      <c r="L83" s="13">
        <v>3</v>
      </c>
      <c r="M83" s="13">
        <v>3</v>
      </c>
      <c r="N83" s="13">
        <v>2</v>
      </c>
      <c r="O83" s="13">
        <v>3</v>
      </c>
      <c r="P83" s="13">
        <v>2</v>
      </c>
      <c r="Q83" s="13">
        <v>2</v>
      </c>
      <c r="R83" s="13">
        <v>3</v>
      </c>
      <c r="S83" s="13">
        <v>3</v>
      </c>
      <c r="T83" s="13">
        <v>3</v>
      </c>
      <c r="U83" s="13">
        <v>2</v>
      </c>
      <c r="V83" s="13">
        <v>3</v>
      </c>
      <c r="W83" s="13">
        <v>3</v>
      </c>
      <c r="X83" s="13">
        <v>3</v>
      </c>
      <c r="Y83" s="13">
        <v>3</v>
      </c>
      <c r="Z83" s="13">
        <v>3</v>
      </c>
      <c r="AA83" s="13">
        <v>3</v>
      </c>
      <c r="AB83" s="13">
        <v>2</v>
      </c>
      <c r="AC83" s="13">
        <v>2</v>
      </c>
      <c r="AD83" s="13">
        <v>3</v>
      </c>
      <c r="AE83" s="13">
        <v>1</v>
      </c>
      <c r="AF83" s="13">
        <v>3</v>
      </c>
      <c r="AG83" s="13">
        <v>2</v>
      </c>
      <c r="AH83" s="89">
        <v>3</v>
      </c>
      <c r="AI83" s="13">
        <v>3</v>
      </c>
      <c r="AJ83" s="13">
        <v>2</v>
      </c>
      <c r="AK83" s="13">
        <v>3</v>
      </c>
      <c r="AL83" s="13">
        <v>2</v>
      </c>
      <c r="AM83" s="13">
        <v>3</v>
      </c>
      <c r="AN83" s="13">
        <v>3</v>
      </c>
      <c r="AO83" s="13">
        <v>2</v>
      </c>
      <c r="AP83" s="13">
        <v>5</v>
      </c>
      <c r="AQ83" s="13">
        <v>1</v>
      </c>
      <c r="AR83" s="13">
        <v>4</v>
      </c>
      <c r="AS83" s="13">
        <v>4</v>
      </c>
      <c r="AT83" s="25">
        <v>4</v>
      </c>
    </row>
    <row r="84" spans="1:46" ht="12.75" customHeight="1" x14ac:dyDescent="0.3">
      <c r="A84" s="121"/>
      <c r="B84" s="117">
        <v>46194</v>
      </c>
      <c r="C84" s="105">
        <v>0.54166666666666663</v>
      </c>
      <c r="D84" s="97" t="s">
        <v>82</v>
      </c>
      <c r="E84" s="130" t="s">
        <v>29</v>
      </c>
      <c r="F84" s="130" t="s">
        <v>57</v>
      </c>
      <c r="G84" s="128"/>
      <c r="H84" s="128"/>
      <c r="I84" s="134" t="str">
        <f t="shared" ref="I84" si="13">IF(G84="","-",IF(G84&gt;H84,"L",IF(G84=H84,"E",IF(G84&lt;H84,"V"))))</f>
        <v>-</v>
      </c>
      <c r="J84" s="23" t="s">
        <v>7</v>
      </c>
      <c r="K84" s="18" t="s">
        <v>7</v>
      </c>
      <c r="L84" s="18" t="s">
        <v>7</v>
      </c>
      <c r="M84" s="18" t="s">
        <v>7</v>
      </c>
      <c r="N84" s="18" t="s">
        <v>16</v>
      </c>
      <c r="O84" s="18" t="s">
        <v>7</v>
      </c>
      <c r="P84" s="18" t="s">
        <v>7</v>
      </c>
      <c r="Q84" s="18" t="s">
        <v>7</v>
      </c>
      <c r="R84" s="18" t="s">
        <v>7</v>
      </c>
      <c r="S84" s="18" t="s">
        <v>7</v>
      </c>
      <c r="T84" s="18" t="s">
        <v>7</v>
      </c>
      <c r="U84" s="18" t="s">
        <v>7</v>
      </c>
      <c r="V84" s="18" t="s">
        <v>7</v>
      </c>
      <c r="W84" s="18" t="s">
        <v>7</v>
      </c>
      <c r="X84" s="18" t="s">
        <v>7</v>
      </c>
      <c r="Y84" s="18" t="s">
        <v>7</v>
      </c>
      <c r="Z84" s="18" t="s">
        <v>7</v>
      </c>
      <c r="AA84" s="18" t="s">
        <v>7</v>
      </c>
      <c r="AB84" s="18" t="s">
        <v>7</v>
      </c>
      <c r="AC84" s="18" t="s">
        <v>7</v>
      </c>
      <c r="AD84" s="18" t="s">
        <v>7</v>
      </c>
      <c r="AE84" s="18" t="s">
        <v>7</v>
      </c>
      <c r="AF84" s="18" t="s">
        <v>7</v>
      </c>
      <c r="AG84" s="18" t="s">
        <v>7</v>
      </c>
      <c r="AH84" s="87" t="s">
        <v>7</v>
      </c>
      <c r="AI84" s="18" t="s">
        <v>7</v>
      </c>
      <c r="AJ84" s="18" t="s">
        <v>7</v>
      </c>
      <c r="AK84" s="18" t="s">
        <v>7</v>
      </c>
      <c r="AL84" s="18" t="s">
        <v>7</v>
      </c>
      <c r="AM84" s="18" t="s">
        <v>7</v>
      </c>
      <c r="AN84" s="18" t="s">
        <v>16</v>
      </c>
      <c r="AO84" s="18" t="s">
        <v>7</v>
      </c>
      <c r="AP84" s="18" t="s">
        <v>7</v>
      </c>
      <c r="AQ84" s="18" t="s">
        <v>7</v>
      </c>
      <c r="AR84" s="18" t="s">
        <v>7</v>
      </c>
      <c r="AS84" s="18" t="s">
        <v>7</v>
      </c>
      <c r="AT84" s="24" t="s">
        <v>7</v>
      </c>
    </row>
    <row r="85" spans="1:46" ht="12.75" customHeight="1" x14ac:dyDescent="0.3">
      <c r="A85" s="121"/>
      <c r="B85" s="106"/>
      <c r="C85" s="106"/>
      <c r="D85" s="98"/>
      <c r="E85" s="98"/>
      <c r="F85" s="98"/>
      <c r="G85" s="129"/>
      <c r="H85" s="129"/>
      <c r="I85" s="135"/>
      <c r="J85" s="23">
        <v>2</v>
      </c>
      <c r="K85" s="18">
        <v>2</v>
      </c>
      <c r="L85" s="18">
        <v>2</v>
      </c>
      <c r="M85" s="18">
        <v>2</v>
      </c>
      <c r="N85" s="18">
        <v>2</v>
      </c>
      <c r="O85" s="18">
        <v>3</v>
      </c>
      <c r="P85" s="18">
        <v>3</v>
      </c>
      <c r="Q85" s="18">
        <v>2</v>
      </c>
      <c r="R85" s="18">
        <v>3</v>
      </c>
      <c r="S85" s="18">
        <v>3</v>
      </c>
      <c r="T85" s="18">
        <v>3</v>
      </c>
      <c r="U85" s="18">
        <v>2</v>
      </c>
      <c r="V85" s="18">
        <v>2</v>
      </c>
      <c r="W85" s="18">
        <v>3</v>
      </c>
      <c r="X85" s="18">
        <v>2</v>
      </c>
      <c r="Y85" s="18">
        <v>2</v>
      </c>
      <c r="Z85" s="18">
        <v>4</v>
      </c>
      <c r="AA85" s="18">
        <v>2</v>
      </c>
      <c r="AB85" s="18">
        <v>1</v>
      </c>
      <c r="AC85" s="18">
        <v>2</v>
      </c>
      <c r="AD85" s="18">
        <v>2</v>
      </c>
      <c r="AE85" s="18">
        <v>2</v>
      </c>
      <c r="AF85" s="18">
        <v>3</v>
      </c>
      <c r="AG85" s="18">
        <v>3</v>
      </c>
      <c r="AH85" s="87">
        <v>2</v>
      </c>
      <c r="AI85" s="18">
        <v>2</v>
      </c>
      <c r="AJ85" s="18">
        <v>3</v>
      </c>
      <c r="AK85" s="18">
        <v>3</v>
      </c>
      <c r="AL85" s="18">
        <v>1</v>
      </c>
      <c r="AM85" s="18">
        <v>3</v>
      </c>
      <c r="AN85" s="18">
        <v>4</v>
      </c>
      <c r="AO85" s="18">
        <v>3</v>
      </c>
      <c r="AP85" s="18">
        <v>2</v>
      </c>
      <c r="AQ85" s="18">
        <v>3</v>
      </c>
      <c r="AR85" s="18">
        <v>2</v>
      </c>
      <c r="AS85" s="18">
        <v>3</v>
      </c>
      <c r="AT85" s="24">
        <v>3</v>
      </c>
    </row>
    <row r="86" spans="1:46" ht="12.75" customHeight="1" x14ac:dyDescent="0.3">
      <c r="A86" s="121"/>
      <c r="B86" s="117">
        <v>46194</v>
      </c>
      <c r="C86" s="105">
        <v>0.79166666666666663</v>
      </c>
      <c r="D86" s="97" t="s">
        <v>92</v>
      </c>
      <c r="E86" s="130" t="s">
        <v>58</v>
      </c>
      <c r="F86" s="130" t="s">
        <v>59</v>
      </c>
      <c r="G86" s="128"/>
      <c r="H86" s="128"/>
      <c r="I86" s="134" t="str">
        <f t="shared" ref="I86" si="14">IF(G86="","-",IF(G86&gt;H86,"L",IF(G86=H86,"E",IF(G86&lt;H86,"V"))))</f>
        <v>-</v>
      </c>
      <c r="J86" s="26" t="s">
        <v>15</v>
      </c>
      <c r="K86" s="13" t="s">
        <v>15</v>
      </c>
      <c r="L86" s="13" t="s">
        <v>15</v>
      </c>
      <c r="M86" s="13" t="s">
        <v>15</v>
      </c>
      <c r="N86" s="13" t="s">
        <v>15</v>
      </c>
      <c r="O86" s="13" t="s">
        <v>15</v>
      </c>
      <c r="P86" s="13" t="s">
        <v>15</v>
      </c>
      <c r="Q86" s="13" t="s">
        <v>15</v>
      </c>
      <c r="R86" s="13" t="s">
        <v>15</v>
      </c>
      <c r="S86" s="13" t="s">
        <v>15</v>
      </c>
      <c r="T86" s="13" t="s">
        <v>15</v>
      </c>
      <c r="U86" s="13" t="s">
        <v>15</v>
      </c>
      <c r="V86" s="13" t="s">
        <v>7</v>
      </c>
      <c r="W86" s="13" t="s">
        <v>16</v>
      </c>
      <c r="X86" s="13" t="s">
        <v>16</v>
      </c>
      <c r="Y86" s="13" t="s">
        <v>15</v>
      </c>
      <c r="Z86" s="13" t="s">
        <v>16</v>
      </c>
      <c r="AA86" s="13" t="s">
        <v>15</v>
      </c>
      <c r="AB86" s="13" t="s">
        <v>15</v>
      </c>
      <c r="AC86" s="13" t="s">
        <v>15</v>
      </c>
      <c r="AD86" s="13" t="s">
        <v>15</v>
      </c>
      <c r="AE86" s="13" t="s">
        <v>15</v>
      </c>
      <c r="AF86" s="13" t="s">
        <v>15</v>
      </c>
      <c r="AG86" s="13" t="s">
        <v>15</v>
      </c>
      <c r="AH86" s="89" t="s">
        <v>16</v>
      </c>
      <c r="AI86" s="13" t="s">
        <v>15</v>
      </c>
      <c r="AJ86" s="13" t="s">
        <v>15</v>
      </c>
      <c r="AK86" s="13" t="s">
        <v>16</v>
      </c>
      <c r="AL86" s="13" t="s">
        <v>15</v>
      </c>
      <c r="AM86" s="13" t="s">
        <v>15</v>
      </c>
      <c r="AN86" s="13" t="s">
        <v>15</v>
      </c>
      <c r="AO86" s="13" t="s">
        <v>15</v>
      </c>
      <c r="AP86" s="13" t="s">
        <v>15</v>
      </c>
      <c r="AQ86" s="13" t="s">
        <v>15</v>
      </c>
      <c r="AR86" s="13" t="s">
        <v>15</v>
      </c>
      <c r="AS86" s="13" t="s">
        <v>16</v>
      </c>
      <c r="AT86" s="25" t="s">
        <v>16</v>
      </c>
    </row>
    <row r="87" spans="1:46" ht="12.75" customHeight="1" x14ac:dyDescent="0.3">
      <c r="A87" s="121"/>
      <c r="B87" s="106"/>
      <c r="C87" s="106"/>
      <c r="D87" s="98"/>
      <c r="E87" s="98"/>
      <c r="F87" s="98"/>
      <c r="G87" s="129"/>
      <c r="H87" s="129"/>
      <c r="I87" s="135"/>
      <c r="J87" s="26">
        <v>2</v>
      </c>
      <c r="K87" s="13">
        <v>3</v>
      </c>
      <c r="L87" s="13">
        <v>2</v>
      </c>
      <c r="M87" s="13">
        <v>1</v>
      </c>
      <c r="N87" s="13">
        <v>1</v>
      </c>
      <c r="O87" s="13">
        <v>1</v>
      </c>
      <c r="P87" s="13">
        <v>3</v>
      </c>
      <c r="Q87" s="13">
        <v>1</v>
      </c>
      <c r="R87" s="13">
        <v>2</v>
      </c>
      <c r="S87" s="13">
        <v>2</v>
      </c>
      <c r="T87" s="13">
        <v>2</v>
      </c>
      <c r="U87" s="13">
        <v>3</v>
      </c>
      <c r="V87" s="13">
        <v>3</v>
      </c>
      <c r="W87" s="13">
        <v>2</v>
      </c>
      <c r="X87" s="13">
        <v>2</v>
      </c>
      <c r="Y87" s="13">
        <v>2</v>
      </c>
      <c r="Z87" s="13">
        <v>1</v>
      </c>
      <c r="AA87" s="13">
        <v>3</v>
      </c>
      <c r="AB87" s="13">
        <v>1</v>
      </c>
      <c r="AC87" s="13">
        <v>2</v>
      </c>
      <c r="AD87" s="13">
        <v>2</v>
      </c>
      <c r="AE87" s="13">
        <v>1</v>
      </c>
      <c r="AF87" s="13">
        <v>1</v>
      </c>
      <c r="AG87" s="13">
        <v>2</v>
      </c>
      <c r="AH87" s="89">
        <v>2</v>
      </c>
      <c r="AI87" s="13">
        <v>1</v>
      </c>
      <c r="AJ87" s="13">
        <v>1</v>
      </c>
      <c r="AK87" s="13">
        <v>2</v>
      </c>
      <c r="AL87" s="13">
        <v>1</v>
      </c>
      <c r="AM87" s="13">
        <v>3</v>
      </c>
      <c r="AN87" s="13">
        <v>1</v>
      </c>
      <c r="AO87" s="13">
        <v>3</v>
      </c>
      <c r="AP87" s="13">
        <v>2</v>
      </c>
      <c r="AQ87" s="13">
        <v>2</v>
      </c>
      <c r="AR87" s="13">
        <v>1</v>
      </c>
      <c r="AS87" s="13">
        <v>2</v>
      </c>
      <c r="AT87" s="25">
        <v>2</v>
      </c>
    </row>
    <row r="88" spans="1:46" ht="12.75" customHeight="1" x14ac:dyDescent="0.3">
      <c r="A88" s="121"/>
      <c r="B88" s="117">
        <v>46199</v>
      </c>
      <c r="C88" s="105">
        <v>0.875</v>
      </c>
      <c r="D88" s="97" t="s">
        <v>92</v>
      </c>
      <c r="E88" s="130" t="s">
        <v>58</v>
      </c>
      <c r="F88" s="130" t="s">
        <v>29</v>
      </c>
      <c r="G88" s="128"/>
      <c r="H88" s="128"/>
      <c r="I88" s="134" t="str">
        <f t="shared" ref="I88" si="15">IF(G88="","-",IF(G88&gt;H88,"L",IF(G88=H88,"E",IF(G88&lt;H88,"V"))))</f>
        <v>-</v>
      </c>
      <c r="J88" s="23" t="s">
        <v>15</v>
      </c>
      <c r="K88" s="18" t="s">
        <v>15</v>
      </c>
      <c r="L88" s="18" t="s">
        <v>15</v>
      </c>
      <c r="M88" s="18" t="s">
        <v>15</v>
      </c>
      <c r="N88" s="18" t="s">
        <v>7</v>
      </c>
      <c r="O88" s="18" t="s">
        <v>15</v>
      </c>
      <c r="P88" s="18" t="s">
        <v>15</v>
      </c>
      <c r="Q88" s="18" t="s">
        <v>16</v>
      </c>
      <c r="R88" s="18" t="s">
        <v>15</v>
      </c>
      <c r="S88" s="18" t="s">
        <v>15</v>
      </c>
      <c r="T88" s="18" t="s">
        <v>15</v>
      </c>
      <c r="U88" s="18" t="s">
        <v>15</v>
      </c>
      <c r="V88" s="18" t="s">
        <v>15</v>
      </c>
      <c r="W88" s="18" t="s">
        <v>15</v>
      </c>
      <c r="X88" s="18" t="s">
        <v>15</v>
      </c>
      <c r="Y88" s="18" t="s">
        <v>15</v>
      </c>
      <c r="Z88" s="18" t="s">
        <v>15</v>
      </c>
      <c r="AA88" s="18" t="s">
        <v>15</v>
      </c>
      <c r="AB88" s="18" t="s">
        <v>15</v>
      </c>
      <c r="AC88" s="18" t="s">
        <v>15</v>
      </c>
      <c r="AD88" s="18" t="s">
        <v>15</v>
      </c>
      <c r="AE88" s="18" t="s">
        <v>15</v>
      </c>
      <c r="AF88" s="18" t="s">
        <v>15</v>
      </c>
      <c r="AG88" s="18" t="s">
        <v>15</v>
      </c>
      <c r="AH88" s="87" t="s">
        <v>15</v>
      </c>
      <c r="AI88" s="18" t="s">
        <v>15</v>
      </c>
      <c r="AJ88" s="18" t="s">
        <v>15</v>
      </c>
      <c r="AK88" s="18" t="s">
        <v>15</v>
      </c>
      <c r="AL88" s="18" t="s">
        <v>15</v>
      </c>
      <c r="AM88" s="18" t="s">
        <v>15</v>
      </c>
      <c r="AN88" s="18" t="s">
        <v>15</v>
      </c>
      <c r="AO88" s="18" t="s">
        <v>15</v>
      </c>
      <c r="AP88" s="18" t="s">
        <v>15</v>
      </c>
      <c r="AQ88" s="18" t="s">
        <v>15</v>
      </c>
      <c r="AR88" s="18" t="s">
        <v>15</v>
      </c>
      <c r="AS88" s="18" t="s">
        <v>16</v>
      </c>
      <c r="AT88" s="24" t="s">
        <v>15</v>
      </c>
    </row>
    <row r="89" spans="1:46" ht="12.75" customHeight="1" x14ac:dyDescent="0.3">
      <c r="A89" s="121"/>
      <c r="B89" s="106"/>
      <c r="C89" s="106"/>
      <c r="D89" s="98"/>
      <c r="E89" s="98"/>
      <c r="F89" s="98"/>
      <c r="G89" s="129"/>
      <c r="H89" s="129"/>
      <c r="I89" s="135"/>
      <c r="J89" s="23">
        <v>3</v>
      </c>
      <c r="K89" s="18">
        <v>3</v>
      </c>
      <c r="L89" s="18">
        <v>3</v>
      </c>
      <c r="M89" s="18">
        <v>2</v>
      </c>
      <c r="N89" s="18">
        <v>3</v>
      </c>
      <c r="O89" s="18">
        <v>3</v>
      </c>
      <c r="P89" s="18">
        <v>2</v>
      </c>
      <c r="Q89" s="18">
        <v>2</v>
      </c>
      <c r="R89" s="18">
        <v>3</v>
      </c>
      <c r="S89" s="18">
        <v>3</v>
      </c>
      <c r="T89" s="18">
        <v>4</v>
      </c>
      <c r="U89" s="18">
        <v>2</v>
      </c>
      <c r="V89" s="18">
        <v>3</v>
      </c>
      <c r="W89" s="18">
        <v>3</v>
      </c>
      <c r="X89" s="18">
        <v>2</v>
      </c>
      <c r="Y89" s="18">
        <v>3</v>
      </c>
      <c r="Z89" s="18">
        <v>3</v>
      </c>
      <c r="AA89" s="18">
        <v>2</v>
      </c>
      <c r="AB89" s="18">
        <v>3</v>
      </c>
      <c r="AC89" s="18">
        <v>2</v>
      </c>
      <c r="AD89" s="18">
        <v>3</v>
      </c>
      <c r="AE89" s="18">
        <v>3</v>
      </c>
      <c r="AF89" s="18">
        <v>3</v>
      </c>
      <c r="AG89" s="18">
        <v>3</v>
      </c>
      <c r="AH89" s="87">
        <v>3</v>
      </c>
      <c r="AI89" s="18">
        <v>3</v>
      </c>
      <c r="AJ89" s="18">
        <v>4</v>
      </c>
      <c r="AK89" s="18">
        <v>3</v>
      </c>
      <c r="AL89" s="18">
        <v>3</v>
      </c>
      <c r="AM89" s="18">
        <v>3</v>
      </c>
      <c r="AN89" s="18">
        <v>4</v>
      </c>
      <c r="AO89" s="18">
        <v>4</v>
      </c>
      <c r="AP89" s="18">
        <v>4</v>
      </c>
      <c r="AQ89" s="18">
        <v>3</v>
      </c>
      <c r="AR89" s="18">
        <v>1</v>
      </c>
      <c r="AS89" s="18">
        <v>4</v>
      </c>
      <c r="AT89" s="24">
        <v>3</v>
      </c>
    </row>
    <row r="90" spans="1:46" ht="12.75" customHeight="1" x14ac:dyDescent="0.3">
      <c r="A90" s="121"/>
      <c r="B90" s="117">
        <v>46199</v>
      </c>
      <c r="C90" s="105">
        <v>0.875</v>
      </c>
      <c r="D90" s="97" t="s">
        <v>86</v>
      </c>
      <c r="E90" s="130" t="s">
        <v>59</v>
      </c>
      <c r="F90" s="130" t="s">
        <v>57</v>
      </c>
      <c r="G90" s="128"/>
      <c r="H90" s="128"/>
      <c r="I90" s="134" t="str">
        <f t="shared" ref="I90" si="16">IF(G90="","-",IF(G90&gt;H90,"L",IF(G90=H90,"E",IF(G90&lt;H90,"V"))))</f>
        <v>-</v>
      </c>
      <c r="J90" s="26" t="s">
        <v>7</v>
      </c>
      <c r="K90" s="13" t="s">
        <v>7</v>
      </c>
      <c r="L90" s="13" t="s">
        <v>16</v>
      </c>
      <c r="M90" s="13" t="s">
        <v>16</v>
      </c>
      <c r="N90" s="13" t="s">
        <v>7</v>
      </c>
      <c r="O90" s="13" t="s">
        <v>16</v>
      </c>
      <c r="P90" s="13" t="s">
        <v>7</v>
      </c>
      <c r="Q90" s="13" t="s">
        <v>16</v>
      </c>
      <c r="R90" s="13" t="s">
        <v>7</v>
      </c>
      <c r="S90" s="13" t="s">
        <v>7</v>
      </c>
      <c r="T90" s="13" t="s">
        <v>16</v>
      </c>
      <c r="U90" s="13" t="s">
        <v>7</v>
      </c>
      <c r="V90" s="13" t="s">
        <v>16</v>
      </c>
      <c r="W90" s="13" t="s">
        <v>7</v>
      </c>
      <c r="X90" s="13" t="s">
        <v>16</v>
      </c>
      <c r="Y90" s="13" t="s">
        <v>16</v>
      </c>
      <c r="Z90" s="13" t="s">
        <v>7</v>
      </c>
      <c r="AA90" s="13" t="s">
        <v>16</v>
      </c>
      <c r="AB90" s="13" t="s">
        <v>16</v>
      </c>
      <c r="AC90" s="13" t="s">
        <v>7</v>
      </c>
      <c r="AD90" s="13" t="s">
        <v>16</v>
      </c>
      <c r="AE90" s="13" t="s">
        <v>16</v>
      </c>
      <c r="AF90" s="13" t="s">
        <v>7</v>
      </c>
      <c r="AG90" s="13" t="s">
        <v>16</v>
      </c>
      <c r="AH90" s="89" t="s">
        <v>16</v>
      </c>
      <c r="AI90" s="13" t="s">
        <v>16</v>
      </c>
      <c r="AJ90" s="13" t="s">
        <v>16</v>
      </c>
      <c r="AK90" s="13" t="s">
        <v>16</v>
      </c>
      <c r="AL90" s="13" t="s">
        <v>16</v>
      </c>
      <c r="AM90" s="13" t="s">
        <v>7</v>
      </c>
      <c r="AN90" s="13" t="s">
        <v>16</v>
      </c>
      <c r="AO90" s="13" t="s">
        <v>7</v>
      </c>
      <c r="AP90" s="13" t="s">
        <v>16</v>
      </c>
      <c r="AQ90" s="13" t="s">
        <v>16</v>
      </c>
      <c r="AR90" s="13" t="s">
        <v>7</v>
      </c>
      <c r="AS90" s="13" t="s">
        <v>15</v>
      </c>
      <c r="AT90" s="25" t="s">
        <v>15</v>
      </c>
    </row>
    <row r="91" spans="1:46" ht="12.75" customHeight="1" x14ac:dyDescent="0.3">
      <c r="A91" s="122"/>
      <c r="B91" s="106"/>
      <c r="C91" s="106"/>
      <c r="D91" s="98"/>
      <c r="E91" s="98"/>
      <c r="F91" s="98"/>
      <c r="G91" s="129"/>
      <c r="H91" s="129"/>
      <c r="I91" s="135"/>
      <c r="J91" s="26">
        <v>3</v>
      </c>
      <c r="K91" s="13">
        <v>2</v>
      </c>
      <c r="L91" s="13">
        <v>1</v>
      </c>
      <c r="M91" s="13">
        <v>0</v>
      </c>
      <c r="N91" s="13">
        <v>2</v>
      </c>
      <c r="O91" s="13">
        <v>2</v>
      </c>
      <c r="P91" s="13">
        <v>3</v>
      </c>
      <c r="Q91" s="13">
        <v>0</v>
      </c>
      <c r="R91" s="13">
        <v>2</v>
      </c>
      <c r="S91" s="13">
        <v>3</v>
      </c>
      <c r="T91" s="13">
        <v>2</v>
      </c>
      <c r="U91" s="13">
        <v>2</v>
      </c>
      <c r="V91" s="13">
        <v>0</v>
      </c>
      <c r="W91" s="13">
        <v>3</v>
      </c>
      <c r="X91" s="13">
        <v>2</v>
      </c>
      <c r="Y91" s="13">
        <v>2</v>
      </c>
      <c r="Z91" s="13">
        <v>2</v>
      </c>
      <c r="AA91" s="13">
        <v>2</v>
      </c>
      <c r="AB91" s="13">
        <v>0</v>
      </c>
      <c r="AC91" s="13">
        <v>2</v>
      </c>
      <c r="AD91" s="13">
        <v>2</v>
      </c>
      <c r="AE91" s="13">
        <v>0</v>
      </c>
      <c r="AF91" s="13">
        <v>2</v>
      </c>
      <c r="AG91" s="13">
        <v>0</v>
      </c>
      <c r="AH91" s="89">
        <v>2</v>
      </c>
      <c r="AI91" s="13">
        <v>2</v>
      </c>
      <c r="AJ91" s="13">
        <v>4</v>
      </c>
      <c r="AK91" s="13">
        <v>2</v>
      </c>
      <c r="AL91" s="13">
        <v>2</v>
      </c>
      <c r="AM91" s="13">
        <v>2</v>
      </c>
      <c r="AN91" s="13">
        <v>0</v>
      </c>
      <c r="AO91" s="13">
        <v>4</v>
      </c>
      <c r="AP91" s="13">
        <v>4</v>
      </c>
      <c r="AQ91" s="13">
        <v>2</v>
      </c>
      <c r="AR91" s="13">
        <v>1</v>
      </c>
      <c r="AS91" s="13">
        <v>2</v>
      </c>
      <c r="AT91" s="25">
        <v>3</v>
      </c>
    </row>
    <row r="92" spans="1:46" ht="12.75" customHeight="1" x14ac:dyDescent="0.3">
      <c r="A92" s="131" t="s">
        <v>49</v>
      </c>
      <c r="B92" s="116">
        <v>46188</v>
      </c>
      <c r="C92" s="107">
        <v>0.41666666666666669</v>
      </c>
      <c r="D92" s="99" t="s">
        <v>90</v>
      </c>
      <c r="E92" s="125" t="s">
        <v>18</v>
      </c>
      <c r="F92" s="125" t="s">
        <v>62</v>
      </c>
      <c r="G92" s="126">
        <v>0</v>
      </c>
      <c r="H92" s="126">
        <v>0</v>
      </c>
      <c r="I92" s="123" t="str">
        <f t="shared" ref="I92" si="17">IF(G92="","-",IF(G92&gt;H92,"L",IF(G92=H92,"E",IF(G92&lt;H92,"V"))))</f>
        <v>E</v>
      </c>
      <c r="J92" s="27" t="s">
        <v>7</v>
      </c>
      <c r="K92" s="19" t="s">
        <v>7</v>
      </c>
      <c r="L92" s="19" t="s">
        <v>7</v>
      </c>
      <c r="M92" s="19" t="s">
        <v>7</v>
      </c>
      <c r="N92" s="19" t="s">
        <v>7</v>
      </c>
      <c r="O92" s="19" t="s">
        <v>7</v>
      </c>
      <c r="P92" s="19" t="s">
        <v>7</v>
      </c>
      <c r="Q92" s="19" t="s">
        <v>7</v>
      </c>
      <c r="R92" s="19" t="s">
        <v>7</v>
      </c>
      <c r="S92" s="19" t="s">
        <v>7</v>
      </c>
      <c r="T92" s="19" t="s">
        <v>7</v>
      </c>
      <c r="U92" s="19" t="s">
        <v>7</v>
      </c>
      <c r="V92" s="19" t="s">
        <v>7</v>
      </c>
      <c r="W92" s="19" t="s">
        <v>7</v>
      </c>
      <c r="X92" s="19" t="s">
        <v>7</v>
      </c>
      <c r="Y92" s="19" t="s">
        <v>7</v>
      </c>
      <c r="Z92" s="19" t="s">
        <v>7</v>
      </c>
      <c r="AA92" s="19" t="s">
        <v>7</v>
      </c>
      <c r="AB92" s="19" t="s">
        <v>7</v>
      </c>
      <c r="AC92" s="19" t="s">
        <v>7</v>
      </c>
      <c r="AD92" s="19" t="s">
        <v>7</v>
      </c>
      <c r="AE92" s="19" t="s">
        <v>7</v>
      </c>
      <c r="AF92" s="19" t="s">
        <v>7</v>
      </c>
      <c r="AG92" s="19" t="s">
        <v>7</v>
      </c>
      <c r="AH92" s="91" t="s">
        <v>7</v>
      </c>
      <c r="AI92" s="19" t="s">
        <v>7</v>
      </c>
      <c r="AJ92" s="19" t="s">
        <v>7</v>
      </c>
      <c r="AK92" s="19" t="s">
        <v>7</v>
      </c>
      <c r="AL92" s="19" t="s">
        <v>7</v>
      </c>
      <c r="AM92" s="19" t="s">
        <v>7</v>
      </c>
      <c r="AN92" s="19" t="s">
        <v>7</v>
      </c>
      <c r="AO92" s="19" t="s">
        <v>7</v>
      </c>
      <c r="AP92" s="19" t="s">
        <v>7</v>
      </c>
      <c r="AQ92" s="19" t="s">
        <v>7</v>
      </c>
      <c r="AR92" s="19" t="s">
        <v>7</v>
      </c>
      <c r="AS92" s="19" t="s">
        <v>7</v>
      </c>
      <c r="AT92" s="28" t="s">
        <v>7</v>
      </c>
    </row>
    <row r="93" spans="1:46" ht="12.75" customHeight="1" x14ac:dyDescent="0.3">
      <c r="A93" s="132"/>
      <c r="B93" s="108"/>
      <c r="C93" s="108"/>
      <c r="D93" s="100"/>
      <c r="E93" s="100"/>
      <c r="F93" s="100"/>
      <c r="G93" s="127"/>
      <c r="H93" s="127"/>
      <c r="I93" s="124"/>
      <c r="J93" s="27">
        <v>3</v>
      </c>
      <c r="K93" s="19">
        <v>4</v>
      </c>
      <c r="L93" s="19">
        <v>3</v>
      </c>
      <c r="M93" s="19">
        <v>3</v>
      </c>
      <c r="N93" s="19">
        <v>3</v>
      </c>
      <c r="O93" s="19">
        <v>4</v>
      </c>
      <c r="P93" s="19">
        <v>4</v>
      </c>
      <c r="Q93" s="19">
        <v>4</v>
      </c>
      <c r="R93" s="19">
        <v>4</v>
      </c>
      <c r="S93" s="19">
        <v>4</v>
      </c>
      <c r="T93" s="19">
        <v>3</v>
      </c>
      <c r="U93" s="19">
        <v>4</v>
      </c>
      <c r="V93" s="19">
        <v>3</v>
      </c>
      <c r="W93" s="19">
        <v>4</v>
      </c>
      <c r="X93" s="19">
        <v>3</v>
      </c>
      <c r="Y93" s="19">
        <v>3</v>
      </c>
      <c r="Z93" s="19">
        <v>3</v>
      </c>
      <c r="AA93" s="19">
        <v>4</v>
      </c>
      <c r="AB93" s="19">
        <v>4</v>
      </c>
      <c r="AC93" s="19">
        <v>4</v>
      </c>
      <c r="AD93" s="19">
        <v>3</v>
      </c>
      <c r="AE93" s="19">
        <v>6</v>
      </c>
      <c r="AF93" s="19">
        <v>3</v>
      </c>
      <c r="AG93" s="19">
        <v>4</v>
      </c>
      <c r="AH93" s="91">
        <v>3</v>
      </c>
      <c r="AI93" s="19">
        <v>3</v>
      </c>
      <c r="AJ93" s="19">
        <v>5</v>
      </c>
      <c r="AK93" s="19">
        <v>3</v>
      </c>
      <c r="AL93" s="19">
        <v>4</v>
      </c>
      <c r="AM93" s="19">
        <v>3</v>
      </c>
      <c r="AN93" s="19">
        <v>4</v>
      </c>
      <c r="AO93" s="19">
        <v>4</v>
      </c>
      <c r="AP93" s="19">
        <v>3</v>
      </c>
      <c r="AQ93" s="19">
        <v>3</v>
      </c>
      <c r="AR93" s="19">
        <v>4</v>
      </c>
      <c r="AS93" s="19">
        <v>5</v>
      </c>
      <c r="AT93" s="28">
        <v>5</v>
      </c>
    </row>
    <row r="94" spans="1:46" ht="12.75" customHeight="1" x14ac:dyDescent="0.3">
      <c r="A94" s="132"/>
      <c r="B94" s="116">
        <v>46188</v>
      </c>
      <c r="C94" s="107">
        <v>0.66666666666666663</v>
      </c>
      <c r="D94" s="99" t="s">
        <v>91</v>
      </c>
      <c r="E94" s="125" t="s">
        <v>60</v>
      </c>
      <c r="F94" s="125" t="s">
        <v>61</v>
      </c>
      <c r="G94" s="126">
        <v>1</v>
      </c>
      <c r="H94" s="126">
        <v>1</v>
      </c>
      <c r="I94" s="123" t="str">
        <f t="shared" ref="I94" si="18">IF(G94="","-",IF(G94&gt;H94,"L",IF(G94=H94,"E",IF(G94&lt;H94,"V"))))</f>
        <v>E</v>
      </c>
      <c r="J94" s="26" t="s">
        <v>15</v>
      </c>
      <c r="K94" s="13" t="s">
        <v>15</v>
      </c>
      <c r="L94" s="13" t="s">
        <v>15</v>
      </c>
      <c r="M94" s="13" t="s">
        <v>15</v>
      </c>
      <c r="N94" s="13" t="s">
        <v>15</v>
      </c>
      <c r="O94" s="13" t="s">
        <v>15</v>
      </c>
      <c r="P94" s="13" t="s">
        <v>15</v>
      </c>
      <c r="Q94" s="13" t="s">
        <v>15</v>
      </c>
      <c r="R94" s="13" t="s">
        <v>15</v>
      </c>
      <c r="S94" s="13" t="s">
        <v>15</v>
      </c>
      <c r="T94" s="13" t="s">
        <v>15</v>
      </c>
      <c r="U94" s="13" t="s">
        <v>15</v>
      </c>
      <c r="V94" s="13" t="s">
        <v>15</v>
      </c>
      <c r="W94" s="13" t="s">
        <v>15</v>
      </c>
      <c r="X94" s="13" t="s">
        <v>15</v>
      </c>
      <c r="Y94" s="13" t="s">
        <v>15</v>
      </c>
      <c r="Z94" s="13" t="s">
        <v>15</v>
      </c>
      <c r="AA94" s="13" t="s">
        <v>15</v>
      </c>
      <c r="AB94" s="13" t="s">
        <v>15</v>
      </c>
      <c r="AC94" s="13" t="s">
        <v>15</v>
      </c>
      <c r="AD94" s="13" t="s">
        <v>15</v>
      </c>
      <c r="AE94" s="13" t="s">
        <v>15</v>
      </c>
      <c r="AF94" s="13" t="s">
        <v>15</v>
      </c>
      <c r="AG94" s="13" t="s">
        <v>16</v>
      </c>
      <c r="AH94" s="89" t="s">
        <v>15</v>
      </c>
      <c r="AI94" s="13" t="s">
        <v>15</v>
      </c>
      <c r="AJ94" s="13" t="s">
        <v>7</v>
      </c>
      <c r="AK94" s="13" t="s">
        <v>15</v>
      </c>
      <c r="AL94" s="13" t="s">
        <v>15</v>
      </c>
      <c r="AM94" s="13" t="s">
        <v>15</v>
      </c>
      <c r="AN94" s="13" t="s">
        <v>15</v>
      </c>
      <c r="AO94" s="13" t="s">
        <v>15</v>
      </c>
      <c r="AP94" s="13" t="s">
        <v>15</v>
      </c>
      <c r="AQ94" s="13" t="s">
        <v>15</v>
      </c>
      <c r="AR94" s="13" t="s">
        <v>15</v>
      </c>
      <c r="AS94" s="13" t="s">
        <v>15</v>
      </c>
      <c r="AT94" s="25" t="s">
        <v>15</v>
      </c>
    </row>
    <row r="95" spans="1:46" ht="12.75" customHeight="1" x14ac:dyDescent="0.3">
      <c r="A95" s="132"/>
      <c r="B95" s="108"/>
      <c r="C95" s="108"/>
      <c r="D95" s="100"/>
      <c r="E95" s="100"/>
      <c r="F95" s="100"/>
      <c r="G95" s="127"/>
      <c r="H95" s="127"/>
      <c r="I95" s="124"/>
      <c r="J95" s="26">
        <v>2</v>
      </c>
      <c r="K95" s="13">
        <v>2</v>
      </c>
      <c r="L95" s="13">
        <v>2</v>
      </c>
      <c r="M95" s="13">
        <v>2</v>
      </c>
      <c r="N95" s="13">
        <v>3</v>
      </c>
      <c r="O95" s="13">
        <v>2</v>
      </c>
      <c r="P95" s="13">
        <v>3</v>
      </c>
      <c r="Q95" s="13">
        <v>2</v>
      </c>
      <c r="R95" s="13">
        <v>3</v>
      </c>
      <c r="S95" s="13">
        <v>2</v>
      </c>
      <c r="T95" s="13">
        <v>3</v>
      </c>
      <c r="U95" s="13">
        <v>2</v>
      </c>
      <c r="V95" s="13">
        <v>2</v>
      </c>
      <c r="W95" s="13">
        <v>3</v>
      </c>
      <c r="X95" s="13">
        <v>3</v>
      </c>
      <c r="Y95" s="13">
        <v>2</v>
      </c>
      <c r="Z95" s="13">
        <v>2</v>
      </c>
      <c r="AA95" s="13">
        <v>3</v>
      </c>
      <c r="AB95" s="13">
        <v>2</v>
      </c>
      <c r="AC95" s="13">
        <v>3</v>
      </c>
      <c r="AD95" s="13">
        <v>3</v>
      </c>
      <c r="AE95" s="13">
        <v>4</v>
      </c>
      <c r="AF95" s="13">
        <v>3</v>
      </c>
      <c r="AG95" s="13">
        <v>1</v>
      </c>
      <c r="AH95" s="89">
        <v>2</v>
      </c>
      <c r="AI95" s="13">
        <v>2</v>
      </c>
      <c r="AJ95" s="13">
        <v>3</v>
      </c>
      <c r="AK95" s="13">
        <v>3</v>
      </c>
      <c r="AL95" s="13">
        <v>2</v>
      </c>
      <c r="AM95" s="13">
        <v>2</v>
      </c>
      <c r="AN95" s="13">
        <v>3</v>
      </c>
      <c r="AO95" s="13">
        <v>2</v>
      </c>
      <c r="AP95" s="13">
        <v>5</v>
      </c>
      <c r="AQ95" s="13">
        <v>2</v>
      </c>
      <c r="AR95" s="13">
        <v>3</v>
      </c>
      <c r="AS95" s="13">
        <v>3</v>
      </c>
      <c r="AT95" s="25">
        <v>3</v>
      </c>
    </row>
    <row r="96" spans="1:46" ht="12.75" customHeight="1" x14ac:dyDescent="0.3">
      <c r="A96" s="132"/>
      <c r="B96" s="116">
        <v>46194</v>
      </c>
      <c r="C96" s="107">
        <v>0.41666666666666669</v>
      </c>
      <c r="D96" s="99" t="s">
        <v>90</v>
      </c>
      <c r="E96" s="125" t="s">
        <v>18</v>
      </c>
      <c r="F96" s="125" t="s">
        <v>60</v>
      </c>
      <c r="G96" s="126"/>
      <c r="H96" s="126"/>
      <c r="I96" s="123" t="str">
        <f t="shared" ref="I96" si="19">IF(G96="","-",IF(G96&gt;H96,"L",IF(G96=H96,"E",IF(G96&lt;H96,"V"))))</f>
        <v>-</v>
      </c>
      <c r="J96" s="27" t="s">
        <v>7</v>
      </c>
      <c r="K96" s="19" t="s">
        <v>7</v>
      </c>
      <c r="L96" s="19" t="s">
        <v>7</v>
      </c>
      <c r="M96" s="19" t="s">
        <v>7</v>
      </c>
      <c r="N96" s="19" t="s">
        <v>7</v>
      </c>
      <c r="O96" s="19" t="s">
        <v>7</v>
      </c>
      <c r="P96" s="19" t="s">
        <v>7</v>
      </c>
      <c r="Q96" s="19" t="s">
        <v>7</v>
      </c>
      <c r="R96" s="19" t="s">
        <v>7</v>
      </c>
      <c r="S96" s="19" t="s">
        <v>7</v>
      </c>
      <c r="T96" s="19" t="s">
        <v>7</v>
      </c>
      <c r="U96" s="19" t="s">
        <v>7</v>
      </c>
      <c r="V96" s="19" t="s">
        <v>7</v>
      </c>
      <c r="W96" s="19" t="s">
        <v>7</v>
      </c>
      <c r="X96" s="19" t="s">
        <v>7</v>
      </c>
      <c r="Y96" s="19" t="s">
        <v>7</v>
      </c>
      <c r="Z96" s="19" t="s">
        <v>7</v>
      </c>
      <c r="AA96" s="19" t="s">
        <v>7</v>
      </c>
      <c r="AB96" s="19" t="s">
        <v>7</v>
      </c>
      <c r="AC96" s="19" t="s">
        <v>7</v>
      </c>
      <c r="AD96" s="19" t="s">
        <v>7</v>
      </c>
      <c r="AE96" s="19" t="s">
        <v>7</v>
      </c>
      <c r="AF96" s="19" t="s">
        <v>7</v>
      </c>
      <c r="AG96" s="19" t="s">
        <v>7</v>
      </c>
      <c r="AH96" s="91" t="s">
        <v>7</v>
      </c>
      <c r="AI96" s="19" t="s">
        <v>7</v>
      </c>
      <c r="AJ96" s="19" t="s">
        <v>7</v>
      </c>
      <c r="AK96" s="19" t="s">
        <v>7</v>
      </c>
      <c r="AL96" s="19" t="s">
        <v>7</v>
      </c>
      <c r="AM96" s="19" t="s">
        <v>7</v>
      </c>
      <c r="AN96" s="19" t="s">
        <v>7</v>
      </c>
      <c r="AO96" s="19" t="s">
        <v>7</v>
      </c>
      <c r="AP96" s="19" t="s">
        <v>7</v>
      </c>
      <c r="AQ96" s="19" t="s">
        <v>7</v>
      </c>
      <c r="AR96" s="19" t="s">
        <v>7</v>
      </c>
      <c r="AS96" s="19" t="s">
        <v>7</v>
      </c>
      <c r="AT96" s="28" t="s">
        <v>7</v>
      </c>
    </row>
    <row r="97" spans="1:46" ht="12.75" customHeight="1" x14ac:dyDescent="0.3">
      <c r="A97" s="132"/>
      <c r="B97" s="108"/>
      <c r="C97" s="108"/>
      <c r="D97" s="100"/>
      <c r="E97" s="100"/>
      <c r="F97" s="100"/>
      <c r="G97" s="127"/>
      <c r="H97" s="127"/>
      <c r="I97" s="124"/>
      <c r="J97" s="27">
        <v>2</v>
      </c>
      <c r="K97" s="19">
        <v>4</v>
      </c>
      <c r="L97" s="19">
        <v>3</v>
      </c>
      <c r="M97" s="19">
        <v>2</v>
      </c>
      <c r="N97" s="19">
        <v>4</v>
      </c>
      <c r="O97" s="19">
        <v>4</v>
      </c>
      <c r="P97" s="19">
        <v>3</v>
      </c>
      <c r="Q97" s="19">
        <v>3</v>
      </c>
      <c r="R97" s="19">
        <v>3</v>
      </c>
      <c r="S97" s="19">
        <v>4</v>
      </c>
      <c r="T97" s="19">
        <v>3</v>
      </c>
      <c r="U97" s="19">
        <v>3</v>
      </c>
      <c r="V97" s="19">
        <v>3</v>
      </c>
      <c r="W97" s="19">
        <v>4</v>
      </c>
      <c r="X97" s="19">
        <v>4</v>
      </c>
      <c r="Y97" s="19">
        <v>3</v>
      </c>
      <c r="Z97" s="19">
        <v>4</v>
      </c>
      <c r="AA97" s="19">
        <v>2</v>
      </c>
      <c r="AB97" s="19">
        <v>4</v>
      </c>
      <c r="AC97" s="19">
        <v>3</v>
      </c>
      <c r="AD97" s="19">
        <v>3</v>
      </c>
      <c r="AE97" s="19">
        <v>5</v>
      </c>
      <c r="AF97" s="19">
        <v>3</v>
      </c>
      <c r="AG97" s="19">
        <v>3</v>
      </c>
      <c r="AH97" s="91">
        <v>3</v>
      </c>
      <c r="AI97" s="19">
        <v>3</v>
      </c>
      <c r="AJ97" s="19">
        <v>3</v>
      </c>
      <c r="AK97" s="19">
        <v>3</v>
      </c>
      <c r="AL97" s="19">
        <v>4</v>
      </c>
      <c r="AM97" s="19">
        <v>3</v>
      </c>
      <c r="AN97" s="19">
        <v>4</v>
      </c>
      <c r="AO97" s="19">
        <v>3</v>
      </c>
      <c r="AP97" s="19">
        <v>2</v>
      </c>
      <c r="AQ97" s="19">
        <v>4</v>
      </c>
      <c r="AR97" s="19">
        <v>2</v>
      </c>
      <c r="AS97" s="19">
        <v>4</v>
      </c>
      <c r="AT97" s="28">
        <v>6</v>
      </c>
    </row>
    <row r="98" spans="1:46" ht="12.75" customHeight="1" x14ac:dyDescent="0.3">
      <c r="A98" s="132"/>
      <c r="B98" s="116">
        <v>46194</v>
      </c>
      <c r="C98" s="107">
        <v>0.66666666666666663</v>
      </c>
      <c r="D98" s="99" t="s">
        <v>91</v>
      </c>
      <c r="E98" s="125" t="s">
        <v>61</v>
      </c>
      <c r="F98" s="125" t="s">
        <v>62</v>
      </c>
      <c r="G98" s="126"/>
      <c r="H98" s="126"/>
      <c r="I98" s="123" t="str">
        <f t="shared" ref="I98" si="20">IF(G98="","-",IF(G98&gt;H98,"L",IF(G98=H98,"E",IF(G98&lt;H98,"V"))))</f>
        <v>-</v>
      </c>
      <c r="J98" s="26" t="s">
        <v>7</v>
      </c>
      <c r="K98" s="13" t="s">
        <v>16</v>
      </c>
      <c r="L98" s="13" t="s">
        <v>7</v>
      </c>
      <c r="M98" s="13" t="s">
        <v>7</v>
      </c>
      <c r="N98" s="13" t="s">
        <v>7</v>
      </c>
      <c r="O98" s="13" t="s">
        <v>7</v>
      </c>
      <c r="P98" s="13" t="s">
        <v>7</v>
      </c>
      <c r="Q98" s="13" t="s">
        <v>16</v>
      </c>
      <c r="R98" s="13" t="s">
        <v>7</v>
      </c>
      <c r="S98" s="13" t="s">
        <v>7</v>
      </c>
      <c r="T98" s="13" t="s">
        <v>7</v>
      </c>
      <c r="U98" s="13" t="s">
        <v>7</v>
      </c>
      <c r="V98" s="13" t="s">
        <v>7</v>
      </c>
      <c r="W98" s="13" t="s">
        <v>7</v>
      </c>
      <c r="X98" s="13" t="s">
        <v>7</v>
      </c>
      <c r="Y98" s="13" t="s">
        <v>7</v>
      </c>
      <c r="Z98" s="13" t="s">
        <v>7</v>
      </c>
      <c r="AA98" s="13" t="s">
        <v>7</v>
      </c>
      <c r="AB98" s="13" t="s">
        <v>7</v>
      </c>
      <c r="AC98" s="13" t="s">
        <v>7</v>
      </c>
      <c r="AD98" s="13" t="s">
        <v>7</v>
      </c>
      <c r="AE98" s="13" t="s">
        <v>7</v>
      </c>
      <c r="AF98" s="13" t="s">
        <v>7</v>
      </c>
      <c r="AG98" s="13" t="s">
        <v>7</v>
      </c>
      <c r="AH98" s="89" t="s">
        <v>7</v>
      </c>
      <c r="AI98" s="13" t="s">
        <v>7</v>
      </c>
      <c r="AJ98" s="13" t="s">
        <v>7</v>
      </c>
      <c r="AK98" s="13" t="s">
        <v>7</v>
      </c>
      <c r="AL98" s="13" t="s">
        <v>7</v>
      </c>
      <c r="AM98" s="13" t="s">
        <v>7</v>
      </c>
      <c r="AN98" s="13" t="s">
        <v>7</v>
      </c>
      <c r="AO98" s="13" t="s">
        <v>7</v>
      </c>
      <c r="AP98" s="13" t="s">
        <v>7</v>
      </c>
      <c r="AQ98" s="13" t="s">
        <v>7</v>
      </c>
      <c r="AR98" s="13" t="s">
        <v>7</v>
      </c>
      <c r="AS98" s="13" t="s">
        <v>7</v>
      </c>
      <c r="AT98" s="25" t="s">
        <v>7</v>
      </c>
    </row>
    <row r="99" spans="1:46" ht="12.75" customHeight="1" x14ac:dyDescent="0.3">
      <c r="A99" s="132"/>
      <c r="B99" s="108"/>
      <c r="C99" s="108"/>
      <c r="D99" s="100"/>
      <c r="E99" s="100"/>
      <c r="F99" s="100"/>
      <c r="G99" s="127"/>
      <c r="H99" s="127"/>
      <c r="I99" s="124"/>
      <c r="J99" s="26">
        <v>3</v>
      </c>
      <c r="K99" s="13">
        <v>4</v>
      </c>
      <c r="L99" s="13">
        <v>3</v>
      </c>
      <c r="M99" s="13">
        <v>2</v>
      </c>
      <c r="N99" s="13">
        <v>5</v>
      </c>
      <c r="O99" s="13">
        <v>4</v>
      </c>
      <c r="P99" s="13">
        <v>2</v>
      </c>
      <c r="Q99" s="13">
        <v>2</v>
      </c>
      <c r="R99" s="13">
        <v>2</v>
      </c>
      <c r="S99" s="13">
        <v>3</v>
      </c>
      <c r="T99" s="13">
        <v>2</v>
      </c>
      <c r="U99" s="13">
        <v>3</v>
      </c>
      <c r="V99" s="13">
        <v>3</v>
      </c>
      <c r="W99" s="13">
        <v>3</v>
      </c>
      <c r="X99" s="13">
        <v>2</v>
      </c>
      <c r="Y99" s="13">
        <v>2</v>
      </c>
      <c r="Z99" s="13">
        <v>3</v>
      </c>
      <c r="AA99" s="13">
        <v>4</v>
      </c>
      <c r="AB99" s="13">
        <v>4</v>
      </c>
      <c r="AC99" s="13">
        <v>3</v>
      </c>
      <c r="AD99" s="13">
        <v>2</v>
      </c>
      <c r="AE99" s="13">
        <v>4</v>
      </c>
      <c r="AF99" s="13">
        <v>3</v>
      </c>
      <c r="AG99" s="13">
        <v>2</v>
      </c>
      <c r="AH99" s="89">
        <v>2</v>
      </c>
      <c r="AI99" s="13">
        <v>2</v>
      </c>
      <c r="AJ99" s="13">
        <v>3</v>
      </c>
      <c r="AK99" s="13">
        <v>3</v>
      </c>
      <c r="AL99" s="13">
        <v>4</v>
      </c>
      <c r="AM99" s="13">
        <v>2</v>
      </c>
      <c r="AN99" s="13">
        <v>4</v>
      </c>
      <c r="AO99" s="13">
        <v>3</v>
      </c>
      <c r="AP99" s="13">
        <v>3</v>
      </c>
      <c r="AQ99" s="13">
        <v>2</v>
      </c>
      <c r="AR99" s="13">
        <v>3</v>
      </c>
      <c r="AS99" s="13">
        <v>6</v>
      </c>
      <c r="AT99" s="25">
        <v>3</v>
      </c>
    </row>
    <row r="100" spans="1:46" ht="12.75" customHeight="1" x14ac:dyDescent="0.3">
      <c r="A100" s="132"/>
      <c r="B100" s="116">
        <v>46199</v>
      </c>
      <c r="C100" s="107">
        <v>0.75</v>
      </c>
      <c r="D100" s="99" t="s">
        <v>137</v>
      </c>
      <c r="E100" s="125" t="s">
        <v>61</v>
      </c>
      <c r="F100" s="125" t="s">
        <v>18</v>
      </c>
      <c r="G100" s="126"/>
      <c r="H100" s="126"/>
      <c r="I100" s="123" t="str">
        <f t="shared" ref="I100" si="21">IF(G100="","-",IF(G100&gt;H100,"L",IF(G100=H100,"E",IF(G100&lt;H100,"V"))))</f>
        <v>-</v>
      </c>
      <c r="J100" s="27" t="s">
        <v>16</v>
      </c>
      <c r="K100" s="19" t="s">
        <v>16</v>
      </c>
      <c r="L100" s="19" t="s">
        <v>15</v>
      </c>
      <c r="M100" s="19" t="s">
        <v>16</v>
      </c>
      <c r="N100" s="19" t="s">
        <v>15</v>
      </c>
      <c r="O100" s="19" t="s">
        <v>15</v>
      </c>
      <c r="P100" s="19" t="s">
        <v>15</v>
      </c>
      <c r="Q100" s="19" t="s">
        <v>16</v>
      </c>
      <c r="R100" s="19" t="s">
        <v>15</v>
      </c>
      <c r="S100" s="19" t="s">
        <v>16</v>
      </c>
      <c r="T100" s="19" t="s">
        <v>15</v>
      </c>
      <c r="U100" s="19" t="s">
        <v>15</v>
      </c>
      <c r="V100" s="19" t="s">
        <v>15</v>
      </c>
      <c r="W100" s="19" t="s">
        <v>15</v>
      </c>
      <c r="X100" s="19" t="s">
        <v>15</v>
      </c>
      <c r="Y100" s="19" t="s">
        <v>16</v>
      </c>
      <c r="Z100" s="19" t="s">
        <v>16</v>
      </c>
      <c r="AA100" s="19" t="s">
        <v>15</v>
      </c>
      <c r="AB100" s="19" t="s">
        <v>16</v>
      </c>
      <c r="AC100" s="19" t="s">
        <v>15</v>
      </c>
      <c r="AD100" s="19" t="s">
        <v>7</v>
      </c>
      <c r="AE100" s="19" t="s">
        <v>16</v>
      </c>
      <c r="AF100" s="19" t="s">
        <v>15</v>
      </c>
      <c r="AG100" s="19" t="s">
        <v>15</v>
      </c>
      <c r="AH100" s="91" t="s">
        <v>16</v>
      </c>
      <c r="AI100" s="19" t="s">
        <v>15</v>
      </c>
      <c r="AJ100" s="19" t="s">
        <v>15</v>
      </c>
      <c r="AK100" s="19" t="s">
        <v>16</v>
      </c>
      <c r="AL100" s="19" t="s">
        <v>16</v>
      </c>
      <c r="AM100" s="19" t="s">
        <v>15</v>
      </c>
      <c r="AN100" s="19" t="s">
        <v>15</v>
      </c>
      <c r="AO100" s="19" t="s">
        <v>15</v>
      </c>
      <c r="AP100" s="19" t="s">
        <v>15</v>
      </c>
      <c r="AQ100" s="19" t="s">
        <v>15</v>
      </c>
      <c r="AR100" s="19" t="s">
        <v>15</v>
      </c>
      <c r="AS100" s="19" t="s">
        <v>7</v>
      </c>
      <c r="AT100" s="28" t="s">
        <v>15</v>
      </c>
    </row>
    <row r="101" spans="1:46" ht="12.75" customHeight="1" x14ac:dyDescent="0.3">
      <c r="A101" s="132"/>
      <c r="B101" s="108"/>
      <c r="C101" s="108"/>
      <c r="D101" s="100"/>
      <c r="E101" s="100"/>
      <c r="F101" s="100"/>
      <c r="G101" s="127"/>
      <c r="H101" s="127"/>
      <c r="I101" s="124"/>
      <c r="J101" s="27">
        <v>2</v>
      </c>
      <c r="K101" s="19">
        <v>2</v>
      </c>
      <c r="L101" s="19">
        <v>2</v>
      </c>
      <c r="M101" s="19">
        <v>4</v>
      </c>
      <c r="N101" s="19">
        <v>3</v>
      </c>
      <c r="O101" s="19">
        <v>3</v>
      </c>
      <c r="P101" s="19">
        <v>3</v>
      </c>
      <c r="Q101" s="19">
        <v>2</v>
      </c>
      <c r="R101" s="19">
        <v>3</v>
      </c>
      <c r="S101" s="19">
        <v>2</v>
      </c>
      <c r="T101" s="19">
        <v>4</v>
      </c>
      <c r="U101" s="19">
        <v>2</v>
      </c>
      <c r="V101" s="19">
        <v>3</v>
      </c>
      <c r="W101" s="19">
        <v>3</v>
      </c>
      <c r="X101" s="19">
        <v>3</v>
      </c>
      <c r="Y101" s="19">
        <v>2</v>
      </c>
      <c r="Z101" s="19">
        <v>4</v>
      </c>
      <c r="AA101" s="19">
        <v>3</v>
      </c>
      <c r="AB101" s="19">
        <v>2</v>
      </c>
      <c r="AC101" s="19">
        <v>3</v>
      </c>
      <c r="AD101" s="19">
        <v>3</v>
      </c>
      <c r="AE101" s="19">
        <v>4</v>
      </c>
      <c r="AF101" s="19">
        <v>2</v>
      </c>
      <c r="AG101" s="19">
        <v>3</v>
      </c>
      <c r="AH101" s="91">
        <v>2</v>
      </c>
      <c r="AI101" s="19">
        <v>3</v>
      </c>
      <c r="AJ101" s="19">
        <v>3</v>
      </c>
      <c r="AK101" s="19">
        <v>2</v>
      </c>
      <c r="AL101" s="19">
        <v>2</v>
      </c>
      <c r="AM101" s="19">
        <v>3</v>
      </c>
      <c r="AN101" s="19">
        <v>3</v>
      </c>
      <c r="AO101" s="19">
        <v>3</v>
      </c>
      <c r="AP101" s="19">
        <v>3</v>
      </c>
      <c r="AQ101" s="19">
        <v>3</v>
      </c>
      <c r="AR101" s="19">
        <v>5</v>
      </c>
      <c r="AS101" s="19">
        <v>1</v>
      </c>
      <c r="AT101" s="28">
        <v>3</v>
      </c>
    </row>
    <row r="102" spans="1:46" ht="12.75" customHeight="1" x14ac:dyDescent="0.3">
      <c r="A102" s="132"/>
      <c r="B102" s="116">
        <v>46199</v>
      </c>
      <c r="C102" s="107">
        <v>0.75</v>
      </c>
      <c r="D102" s="99" t="s">
        <v>87</v>
      </c>
      <c r="E102" s="125" t="s">
        <v>62</v>
      </c>
      <c r="F102" s="125" t="s">
        <v>60</v>
      </c>
      <c r="G102" s="126"/>
      <c r="H102" s="126"/>
      <c r="I102" s="123" t="str">
        <f t="shared" ref="I102" si="22">IF(G102="","-",IF(G102&gt;H102,"L",IF(G102=H102,"E",IF(G102&lt;H102,"V"))))</f>
        <v>-</v>
      </c>
      <c r="J102" s="26" t="s">
        <v>7</v>
      </c>
      <c r="K102" s="13" t="s">
        <v>15</v>
      </c>
      <c r="L102" s="13" t="s">
        <v>15</v>
      </c>
      <c r="M102" s="13" t="s">
        <v>15</v>
      </c>
      <c r="N102" s="13" t="s">
        <v>16</v>
      </c>
      <c r="O102" s="13" t="s">
        <v>16</v>
      </c>
      <c r="P102" s="13" t="s">
        <v>15</v>
      </c>
      <c r="Q102" s="13" t="s">
        <v>7</v>
      </c>
      <c r="R102" s="13" t="s">
        <v>16</v>
      </c>
      <c r="S102" s="13" t="s">
        <v>7</v>
      </c>
      <c r="T102" s="13" t="s">
        <v>15</v>
      </c>
      <c r="U102" s="13" t="s">
        <v>16</v>
      </c>
      <c r="V102" s="13" t="s">
        <v>16</v>
      </c>
      <c r="W102" s="13" t="s">
        <v>15</v>
      </c>
      <c r="X102" s="13" t="s">
        <v>16</v>
      </c>
      <c r="Y102" s="13" t="s">
        <v>16</v>
      </c>
      <c r="Z102" s="13" t="s">
        <v>7</v>
      </c>
      <c r="AA102" s="13" t="s">
        <v>15</v>
      </c>
      <c r="AB102" s="13" t="s">
        <v>16</v>
      </c>
      <c r="AC102" s="13" t="s">
        <v>16</v>
      </c>
      <c r="AD102" s="13" t="s">
        <v>16</v>
      </c>
      <c r="AE102" s="13" t="s">
        <v>15</v>
      </c>
      <c r="AF102" s="13" t="s">
        <v>7</v>
      </c>
      <c r="AG102" s="13" t="s">
        <v>16</v>
      </c>
      <c r="AH102" s="89" t="s">
        <v>16</v>
      </c>
      <c r="AI102" s="13" t="s">
        <v>16</v>
      </c>
      <c r="AJ102" s="13" t="s">
        <v>15</v>
      </c>
      <c r="AK102" s="13" t="s">
        <v>7</v>
      </c>
      <c r="AL102" s="13" t="s">
        <v>16</v>
      </c>
      <c r="AM102" s="13" t="s">
        <v>16</v>
      </c>
      <c r="AN102" s="13" t="s">
        <v>16</v>
      </c>
      <c r="AO102" s="13" t="s">
        <v>16</v>
      </c>
      <c r="AP102" s="13" t="s">
        <v>15</v>
      </c>
      <c r="AQ102" s="13" t="s">
        <v>7</v>
      </c>
      <c r="AR102" s="13" t="s">
        <v>7</v>
      </c>
      <c r="AS102" s="13" t="s">
        <v>15</v>
      </c>
      <c r="AT102" s="25" t="s">
        <v>15</v>
      </c>
    </row>
    <row r="103" spans="1:46" ht="12.75" customHeight="1" x14ac:dyDescent="0.3">
      <c r="A103" s="133"/>
      <c r="B103" s="108"/>
      <c r="C103" s="108"/>
      <c r="D103" s="100"/>
      <c r="E103" s="100"/>
      <c r="F103" s="100"/>
      <c r="G103" s="127"/>
      <c r="H103" s="127"/>
      <c r="I103" s="124"/>
      <c r="J103" s="92">
        <v>1</v>
      </c>
      <c r="K103" s="14">
        <v>3</v>
      </c>
      <c r="L103" s="14">
        <v>2</v>
      </c>
      <c r="M103" s="14">
        <v>2</v>
      </c>
      <c r="N103" s="14">
        <v>2</v>
      </c>
      <c r="O103" s="14">
        <v>2</v>
      </c>
      <c r="P103" s="14">
        <v>2</v>
      </c>
      <c r="Q103" s="14">
        <v>2</v>
      </c>
      <c r="R103" s="14">
        <v>2</v>
      </c>
      <c r="S103" s="14">
        <v>2</v>
      </c>
      <c r="T103" s="14">
        <v>2</v>
      </c>
      <c r="U103" s="14">
        <v>4</v>
      </c>
      <c r="V103" s="14">
        <v>4</v>
      </c>
      <c r="W103" s="14">
        <v>3</v>
      </c>
      <c r="X103" s="14">
        <v>2</v>
      </c>
      <c r="Y103" s="14">
        <v>2</v>
      </c>
      <c r="Z103" s="14">
        <v>3</v>
      </c>
      <c r="AA103" s="14">
        <v>3</v>
      </c>
      <c r="AB103" s="14">
        <v>0</v>
      </c>
      <c r="AC103" s="14">
        <v>0</v>
      </c>
      <c r="AD103" s="14">
        <v>2</v>
      </c>
      <c r="AE103" s="14">
        <v>3</v>
      </c>
      <c r="AF103" s="14">
        <v>1</v>
      </c>
      <c r="AG103" s="14">
        <v>2</v>
      </c>
      <c r="AH103" s="93">
        <v>2</v>
      </c>
      <c r="AI103" s="14">
        <v>2</v>
      </c>
      <c r="AJ103" s="14">
        <v>2</v>
      </c>
      <c r="AK103" s="14">
        <v>2</v>
      </c>
      <c r="AL103" s="14">
        <v>0</v>
      </c>
      <c r="AM103" s="14">
        <v>2</v>
      </c>
      <c r="AN103" s="14">
        <v>2</v>
      </c>
      <c r="AO103" s="14">
        <v>4</v>
      </c>
      <c r="AP103" s="14">
        <v>3</v>
      </c>
      <c r="AQ103" s="14">
        <v>1</v>
      </c>
      <c r="AR103" s="14">
        <v>1</v>
      </c>
      <c r="AS103" s="14">
        <v>3</v>
      </c>
      <c r="AT103" s="29">
        <v>2</v>
      </c>
    </row>
    <row r="104" spans="1:46" ht="12.75" customHeight="1" x14ac:dyDescent="0.3">
      <c r="A104" s="120" t="s">
        <v>50</v>
      </c>
      <c r="B104" s="117">
        <v>46189</v>
      </c>
      <c r="C104" s="105">
        <v>0.54166666666666663</v>
      </c>
      <c r="D104" s="97" t="s">
        <v>81</v>
      </c>
      <c r="E104" s="130" t="s">
        <v>19</v>
      </c>
      <c r="F104" s="130" t="s">
        <v>65</v>
      </c>
      <c r="G104" s="128">
        <v>3</v>
      </c>
      <c r="H104" s="128">
        <v>1</v>
      </c>
      <c r="I104" s="134" t="str">
        <f>IF(G104="","-",IF(G104&gt;H104,"L",IF(G104=H104,"E",IF(G104&lt;H104,"V"))))</f>
        <v>L</v>
      </c>
      <c r="J104" s="23" t="s">
        <v>7</v>
      </c>
      <c r="K104" s="18" t="s">
        <v>7</v>
      </c>
      <c r="L104" s="18" t="s">
        <v>7</v>
      </c>
      <c r="M104" s="18" t="s">
        <v>7</v>
      </c>
      <c r="N104" s="18" t="s">
        <v>7</v>
      </c>
      <c r="O104" s="18" t="s">
        <v>7</v>
      </c>
      <c r="P104" s="18" t="s">
        <v>7</v>
      </c>
      <c r="Q104" s="18" t="s">
        <v>7</v>
      </c>
      <c r="R104" s="18" t="s">
        <v>7</v>
      </c>
      <c r="S104" s="18" t="s">
        <v>7</v>
      </c>
      <c r="T104" s="18" t="s">
        <v>7</v>
      </c>
      <c r="U104" s="18" t="s">
        <v>7</v>
      </c>
      <c r="V104" s="18" t="s">
        <v>7</v>
      </c>
      <c r="W104" s="18" t="s">
        <v>7</v>
      </c>
      <c r="X104" s="18" t="s">
        <v>7</v>
      </c>
      <c r="Y104" s="18" t="s">
        <v>7</v>
      </c>
      <c r="Z104" s="18" t="s">
        <v>7</v>
      </c>
      <c r="AA104" s="18" t="s">
        <v>7</v>
      </c>
      <c r="AB104" s="18" t="s">
        <v>7</v>
      </c>
      <c r="AC104" s="18" t="s">
        <v>7</v>
      </c>
      <c r="AD104" s="18" t="s">
        <v>7</v>
      </c>
      <c r="AE104" s="18" t="s">
        <v>7</v>
      </c>
      <c r="AF104" s="18" t="s">
        <v>7</v>
      </c>
      <c r="AG104" s="18" t="s">
        <v>7</v>
      </c>
      <c r="AH104" s="87" t="s">
        <v>7</v>
      </c>
      <c r="AI104" s="18" t="s">
        <v>7</v>
      </c>
      <c r="AJ104" s="18" t="s">
        <v>7</v>
      </c>
      <c r="AK104" s="18" t="s">
        <v>7</v>
      </c>
      <c r="AL104" s="18" t="s">
        <v>7</v>
      </c>
      <c r="AM104" s="18" t="s">
        <v>7</v>
      </c>
      <c r="AN104" s="18" t="s">
        <v>7</v>
      </c>
      <c r="AO104" s="18" t="s">
        <v>7</v>
      </c>
      <c r="AP104" s="18" t="s">
        <v>7</v>
      </c>
      <c r="AQ104" s="18" t="s">
        <v>7</v>
      </c>
      <c r="AR104" s="18" t="s">
        <v>7</v>
      </c>
      <c r="AS104" s="18" t="s">
        <v>7</v>
      </c>
      <c r="AT104" s="24" t="s">
        <v>7</v>
      </c>
    </row>
    <row r="105" spans="1:46" ht="12.75" customHeight="1" x14ac:dyDescent="0.3">
      <c r="A105" s="121"/>
      <c r="B105" s="106"/>
      <c r="C105" s="106"/>
      <c r="D105" s="98"/>
      <c r="E105" s="98"/>
      <c r="F105" s="98"/>
      <c r="G105" s="129"/>
      <c r="H105" s="129"/>
      <c r="I105" s="135"/>
      <c r="J105" s="23">
        <v>2</v>
      </c>
      <c r="K105" s="18">
        <v>3</v>
      </c>
      <c r="L105" s="18">
        <v>3</v>
      </c>
      <c r="M105" s="18">
        <v>3</v>
      </c>
      <c r="N105" s="18">
        <v>4</v>
      </c>
      <c r="O105" s="18">
        <v>4</v>
      </c>
      <c r="P105" s="18">
        <v>3</v>
      </c>
      <c r="Q105" s="18">
        <v>3</v>
      </c>
      <c r="R105" s="18">
        <v>4</v>
      </c>
      <c r="S105" s="18">
        <v>3</v>
      </c>
      <c r="T105" s="18">
        <v>4</v>
      </c>
      <c r="U105" s="18">
        <v>3</v>
      </c>
      <c r="V105" s="18">
        <v>2</v>
      </c>
      <c r="W105" s="18">
        <v>4</v>
      </c>
      <c r="X105" s="18">
        <v>2</v>
      </c>
      <c r="Y105" s="18">
        <v>3</v>
      </c>
      <c r="Z105" s="18">
        <v>3</v>
      </c>
      <c r="AA105" s="18">
        <v>3</v>
      </c>
      <c r="AB105" s="18">
        <v>4</v>
      </c>
      <c r="AC105" s="18">
        <v>3</v>
      </c>
      <c r="AD105" s="18">
        <v>3</v>
      </c>
      <c r="AE105" s="18">
        <v>3</v>
      </c>
      <c r="AF105" s="18">
        <v>3</v>
      </c>
      <c r="AG105" s="18">
        <v>3</v>
      </c>
      <c r="AH105" s="87">
        <v>3</v>
      </c>
      <c r="AI105" s="18">
        <v>3</v>
      </c>
      <c r="AJ105" s="18">
        <v>4</v>
      </c>
      <c r="AK105" s="18">
        <v>3</v>
      </c>
      <c r="AL105" s="18">
        <v>4</v>
      </c>
      <c r="AM105" s="18">
        <v>2</v>
      </c>
      <c r="AN105" s="18">
        <v>3</v>
      </c>
      <c r="AO105" s="18">
        <v>4</v>
      </c>
      <c r="AP105" s="18">
        <v>4</v>
      </c>
      <c r="AQ105" s="18">
        <v>3</v>
      </c>
      <c r="AR105" s="18">
        <v>3</v>
      </c>
      <c r="AS105" s="18">
        <v>4</v>
      </c>
      <c r="AT105" s="24">
        <v>4</v>
      </c>
    </row>
    <row r="106" spans="1:46" ht="12.75" customHeight="1" x14ac:dyDescent="0.3">
      <c r="A106" s="121"/>
      <c r="B106" s="117">
        <v>46189</v>
      </c>
      <c r="C106" s="105">
        <v>0.66666666666666663</v>
      </c>
      <c r="D106" s="97" t="s">
        <v>80</v>
      </c>
      <c r="E106" s="130" t="s">
        <v>63</v>
      </c>
      <c r="F106" s="130" t="s">
        <v>64</v>
      </c>
      <c r="G106" s="128">
        <v>1</v>
      </c>
      <c r="H106" s="128">
        <v>4</v>
      </c>
      <c r="I106" s="134" t="str">
        <f t="shared" ref="I106" si="23">IF(G106="","-",IF(G106&gt;H106,"L",IF(G106=H106,"E",IF(G106&lt;H106,"V"))))</f>
        <v>V</v>
      </c>
      <c r="J106" s="26" t="s">
        <v>15</v>
      </c>
      <c r="K106" s="13" t="s">
        <v>15</v>
      </c>
      <c r="L106" s="13" t="s">
        <v>15</v>
      </c>
      <c r="M106" s="13" t="s">
        <v>15</v>
      </c>
      <c r="N106" s="13" t="s">
        <v>15</v>
      </c>
      <c r="O106" s="13" t="s">
        <v>15</v>
      </c>
      <c r="P106" s="13" t="s">
        <v>15</v>
      </c>
      <c r="Q106" s="13" t="s">
        <v>15</v>
      </c>
      <c r="R106" s="13" t="s">
        <v>16</v>
      </c>
      <c r="S106" s="13" t="s">
        <v>15</v>
      </c>
      <c r="T106" s="13" t="s">
        <v>15</v>
      </c>
      <c r="U106" s="13" t="s">
        <v>15</v>
      </c>
      <c r="V106" s="13" t="s">
        <v>15</v>
      </c>
      <c r="W106" s="13" t="s">
        <v>16</v>
      </c>
      <c r="X106" s="13" t="s">
        <v>15</v>
      </c>
      <c r="Y106" s="13" t="s">
        <v>15</v>
      </c>
      <c r="Z106" s="13" t="s">
        <v>15</v>
      </c>
      <c r="AA106" s="13" t="s">
        <v>15</v>
      </c>
      <c r="AB106" s="13" t="s">
        <v>15</v>
      </c>
      <c r="AC106" s="13" t="s">
        <v>15</v>
      </c>
      <c r="AD106" s="13" t="s">
        <v>15</v>
      </c>
      <c r="AE106" s="13" t="s">
        <v>15</v>
      </c>
      <c r="AF106" s="13" t="s">
        <v>15</v>
      </c>
      <c r="AG106" s="13" t="s">
        <v>16</v>
      </c>
      <c r="AH106" s="89" t="s">
        <v>15</v>
      </c>
      <c r="AI106" s="13" t="s">
        <v>15</v>
      </c>
      <c r="AJ106" s="13" t="s">
        <v>15</v>
      </c>
      <c r="AK106" s="13" t="s">
        <v>15</v>
      </c>
      <c r="AL106" s="13" t="s">
        <v>15</v>
      </c>
      <c r="AM106" s="13" t="s">
        <v>15</v>
      </c>
      <c r="AN106" s="13" t="s">
        <v>15</v>
      </c>
      <c r="AO106" s="13" t="s">
        <v>15</v>
      </c>
      <c r="AP106" s="13" t="s">
        <v>16</v>
      </c>
      <c r="AQ106" s="13" t="s">
        <v>15</v>
      </c>
      <c r="AR106" s="13" t="s">
        <v>15</v>
      </c>
      <c r="AS106" s="13" t="s">
        <v>15</v>
      </c>
      <c r="AT106" s="25" t="s">
        <v>15</v>
      </c>
    </row>
    <row r="107" spans="1:46" ht="12.75" customHeight="1" x14ac:dyDescent="0.3">
      <c r="A107" s="121"/>
      <c r="B107" s="106"/>
      <c r="C107" s="106"/>
      <c r="D107" s="98"/>
      <c r="E107" s="98"/>
      <c r="F107" s="98"/>
      <c r="G107" s="129"/>
      <c r="H107" s="129"/>
      <c r="I107" s="135"/>
      <c r="J107" s="26">
        <v>3</v>
      </c>
      <c r="K107" s="13">
        <v>2</v>
      </c>
      <c r="L107" s="13">
        <v>2</v>
      </c>
      <c r="M107" s="13">
        <v>2</v>
      </c>
      <c r="N107" s="13">
        <v>3</v>
      </c>
      <c r="O107" s="13">
        <v>2</v>
      </c>
      <c r="P107" s="13">
        <v>3</v>
      </c>
      <c r="Q107" s="13">
        <v>3</v>
      </c>
      <c r="R107" s="13">
        <v>0</v>
      </c>
      <c r="S107" s="13">
        <v>3</v>
      </c>
      <c r="T107" s="13">
        <v>4</v>
      </c>
      <c r="U107" s="13">
        <v>3</v>
      </c>
      <c r="V107" s="13">
        <v>3</v>
      </c>
      <c r="W107" s="13">
        <v>2</v>
      </c>
      <c r="X107" s="13">
        <v>3</v>
      </c>
      <c r="Y107" s="13">
        <v>2</v>
      </c>
      <c r="Z107" s="13">
        <v>3</v>
      </c>
      <c r="AA107" s="13">
        <v>2</v>
      </c>
      <c r="AB107" s="13">
        <v>1</v>
      </c>
      <c r="AC107" s="13">
        <v>2</v>
      </c>
      <c r="AD107" s="13">
        <v>2</v>
      </c>
      <c r="AE107" s="13">
        <v>5</v>
      </c>
      <c r="AF107" s="13">
        <v>3</v>
      </c>
      <c r="AG107" s="13">
        <v>2</v>
      </c>
      <c r="AH107" s="89">
        <v>2</v>
      </c>
      <c r="AI107" s="13">
        <v>2</v>
      </c>
      <c r="AJ107" s="13">
        <v>3</v>
      </c>
      <c r="AK107" s="13">
        <v>2</v>
      </c>
      <c r="AL107" s="13">
        <v>1</v>
      </c>
      <c r="AM107" s="13">
        <v>3</v>
      </c>
      <c r="AN107" s="13">
        <v>4</v>
      </c>
      <c r="AO107" s="13">
        <v>3</v>
      </c>
      <c r="AP107" s="13">
        <v>4</v>
      </c>
      <c r="AQ107" s="13">
        <v>4</v>
      </c>
      <c r="AR107" s="13">
        <v>3</v>
      </c>
      <c r="AS107" s="13">
        <v>2</v>
      </c>
      <c r="AT107" s="25">
        <v>3</v>
      </c>
    </row>
    <row r="108" spans="1:46" ht="12.75" customHeight="1" x14ac:dyDescent="0.3">
      <c r="A108" s="121"/>
      <c r="B108" s="117">
        <v>46195</v>
      </c>
      <c r="C108" s="105">
        <v>0.625</v>
      </c>
      <c r="D108" s="97" t="s">
        <v>94</v>
      </c>
      <c r="E108" s="130" t="s">
        <v>19</v>
      </c>
      <c r="F108" s="130" t="s">
        <v>63</v>
      </c>
      <c r="G108" s="128"/>
      <c r="H108" s="128"/>
      <c r="I108" s="134" t="str">
        <f t="shared" ref="I108" si="24">IF(G108="","-",IF(G108&gt;H108,"L",IF(G108=H108,"E",IF(G108&lt;H108,"V"))))</f>
        <v>-</v>
      </c>
      <c r="J108" s="23" t="s">
        <v>7</v>
      </c>
      <c r="K108" s="18" t="s">
        <v>7</v>
      </c>
      <c r="L108" s="18" t="s">
        <v>7</v>
      </c>
      <c r="M108" s="18" t="s">
        <v>7</v>
      </c>
      <c r="N108" s="18" t="s">
        <v>7</v>
      </c>
      <c r="O108" s="18" t="s">
        <v>7</v>
      </c>
      <c r="P108" s="18" t="s">
        <v>7</v>
      </c>
      <c r="Q108" s="18" t="s">
        <v>7</v>
      </c>
      <c r="R108" s="18" t="s">
        <v>7</v>
      </c>
      <c r="S108" s="18" t="s">
        <v>7</v>
      </c>
      <c r="T108" s="18" t="s">
        <v>7</v>
      </c>
      <c r="U108" s="18" t="s">
        <v>7</v>
      </c>
      <c r="V108" s="18" t="s">
        <v>7</v>
      </c>
      <c r="W108" s="18" t="s">
        <v>7</v>
      </c>
      <c r="X108" s="18" t="s">
        <v>7</v>
      </c>
      <c r="Y108" s="18" t="s">
        <v>7</v>
      </c>
      <c r="Z108" s="18" t="s">
        <v>7</v>
      </c>
      <c r="AA108" s="18" t="s">
        <v>7</v>
      </c>
      <c r="AB108" s="18" t="s">
        <v>7</v>
      </c>
      <c r="AC108" s="18" t="s">
        <v>7</v>
      </c>
      <c r="AD108" s="18" t="s">
        <v>7</v>
      </c>
      <c r="AE108" s="18" t="s">
        <v>7</v>
      </c>
      <c r="AF108" s="18" t="s">
        <v>7</v>
      </c>
      <c r="AG108" s="18" t="s">
        <v>7</v>
      </c>
      <c r="AH108" s="87" t="s">
        <v>7</v>
      </c>
      <c r="AI108" s="18" t="s">
        <v>7</v>
      </c>
      <c r="AJ108" s="18" t="s">
        <v>7</v>
      </c>
      <c r="AK108" s="18" t="s">
        <v>7</v>
      </c>
      <c r="AL108" s="18" t="s">
        <v>7</v>
      </c>
      <c r="AM108" s="18" t="s">
        <v>7</v>
      </c>
      <c r="AN108" s="18" t="s">
        <v>7</v>
      </c>
      <c r="AO108" s="18" t="s">
        <v>7</v>
      </c>
      <c r="AP108" s="18" t="s">
        <v>7</v>
      </c>
      <c r="AQ108" s="18" t="s">
        <v>7</v>
      </c>
      <c r="AR108" s="18" t="s">
        <v>7</v>
      </c>
      <c r="AS108" s="18" t="s">
        <v>7</v>
      </c>
      <c r="AT108" s="24" t="s">
        <v>7</v>
      </c>
    </row>
    <row r="109" spans="1:46" ht="12.75" customHeight="1" x14ac:dyDescent="0.3">
      <c r="A109" s="121"/>
      <c r="B109" s="106"/>
      <c r="C109" s="106"/>
      <c r="D109" s="98"/>
      <c r="E109" s="98"/>
      <c r="F109" s="98"/>
      <c r="G109" s="129"/>
      <c r="H109" s="129"/>
      <c r="I109" s="135"/>
      <c r="J109" s="23">
        <v>3</v>
      </c>
      <c r="K109" s="18">
        <v>3</v>
      </c>
      <c r="L109" s="18">
        <v>3</v>
      </c>
      <c r="M109" s="18">
        <v>3</v>
      </c>
      <c r="N109" s="18">
        <v>5</v>
      </c>
      <c r="O109" s="18">
        <v>3</v>
      </c>
      <c r="P109" s="18">
        <v>2</v>
      </c>
      <c r="Q109" s="18">
        <v>4</v>
      </c>
      <c r="R109" s="18">
        <v>3</v>
      </c>
      <c r="S109" s="18">
        <v>4</v>
      </c>
      <c r="T109" s="18">
        <v>3</v>
      </c>
      <c r="U109" s="18">
        <v>3</v>
      </c>
      <c r="V109" s="18">
        <v>4</v>
      </c>
      <c r="W109" s="18">
        <v>5</v>
      </c>
      <c r="X109" s="18">
        <v>3</v>
      </c>
      <c r="Y109" s="18">
        <v>4</v>
      </c>
      <c r="Z109" s="18">
        <v>3</v>
      </c>
      <c r="AA109" s="18">
        <v>3</v>
      </c>
      <c r="AB109" s="18">
        <v>3</v>
      </c>
      <c r="AC109" s="18">
        <v>3</v>
      </c>
      <c r="AD109" s="18">
        <v>3</v>
      </c>
      <c r="AE109" s="18">
        <v>4</v>
      </c>
      <c r="AF109" s="18">
        <v>4</v>
      </c>
      <c r="AG109" s="18">
        <v>4</v>
      </c>
      <c r="AH109" s="87">
        <v>3</v>
      </c>
      <c r="AI109" s="18">
        <v>3</v>
      </c>
      <c r="AJ109" s="18">
        <v>4</v>
      </c>
      <c r="AK109" s="18">
        <v>4</v>
      </c>
      <c r="AL109" s="18">
        <v>2</v>
      </c>
      <c r="AM109" s="18">
        <v>3</v>
      </c>
      <c r="AN109" s="18">
        <v>5</v>
      </c>
      <c r="AO109" s="18">
        <v>5</v>
      </c>
      <c r="AP109" s="18">
        <v>4</v>
      </c>
      <c r="AQ109" s="18">
        <v>4</v>
      </c>
      <c r="AR109" s="18">
        <v>3</v>
      </c>
      <c r="AS109" s="18">
        <v>4</v>
      </c>
      <c r="AT109" s="24">
        <v>4</v>
      </c>
    </row>
    <row r="110" spans="1:46" ht="12.75" customHeight="1" x14ac:dyDescent="0.3">
      <c r="A110" s="121"/>
      <c r="B110" s="117">
        <v>46195</v>
      </c>
      <c r="C110" s="105">
        <v>0.75</v>
      </c>
      <c r="D110" s="97" t="s">
        <v>81</v>
      </c>
      <c r="E110" s="130" t="s">
        <v>64</v>
      </c>
      <c r="F110" s="130" t="s">
        <v>65</v>
      </c>
      <c r="G110" s="128"/>
      <c r="H110" s="128"/>
      <c r="I110" s="134" t="str">
        <f t="shared" ref="I110" si="25">IF(G110="","-",IF(G110&gt;H110,"L",IF(G110=H110,"E",IF(G110&lt;H110,"V"))))</f>
        <v>-</v>
      </c>
      <c r="J110" s="26" t="s">
        <v>7</v>
      </c>
      <c r="K110" s="13" t="s">
        <v>15</v>
      </c>
      <c r="L110" s="13" t="s">
        <v>16</v>
      </c>
      <c r="M110" s="13" t="s">
        <v>7</v>
      </c>
      <c r="N110" s="13" t="s">
        <v>7</v>
      </c>
      <c r="O110" s="13" t="s">
        <v>15</v>
      </c>
      <c r="P110" s="13" t="s">
        <v>7</v>
      </c>
      <c r="Q110" s="13" t="s">
        <v>16</v>
      </c>
      <c r="R110" s="13" t="s">
        <v>15</v>
      </c>
      <c r="S110" s="13" t="s">
        <v>16</v>
      </c>
      <c r="T110" s="13" t="s">
        <v>7</v>
      </c>
      <c r="U110" s="13" t="s">
        <v>7</v>
      </c>
      <c r="V110" s="13" t="s">
        <v>7</v>
      </c>
      <c r="W110" s="13" t="s">
        <v>7</v>
      </c>
      <c r="X110" s="13" t="s">
        <v>16</v>
      </c>
      <c r="Y110" s="13" t="s">
        <v>16</v>
      </c>
      <c r="Z110" s="13" t="s">
        <v>7</v>
      </c>
      <c r="AA110" s="13" t="s">
        <v>7</v>
      </c>
      <c r="AB110" s="13" t="s">
        <v>15</v>
      </c>
      <c r="AC110" s="13" t="s">
        <v>7</v>
      </c>
      <c r="AD110" s="13" t="s">
        <v>7</v>
      </c>
      <c r="AE110" s="13" t="s">
        <v>7</v>
      </c>
      <c r="AF110" s="13" t="s">
        <v>16</v>
      </c>
      <c r="AG110" s="13" t="s">
        <v>16</v>
      </c>
      <c r="AH110" s="89" t="s">
        <v>16</v>
      </c>
      <c r="AI110" s="13" t="s">
        <v>16</v>
      </c>
      <c r="AJ110" s="13" t="s">
        <v>7</v>
      </c>
      <c r="AK110" s="13" t="s">
        <v>7</v>
      </c>
      <c r="AL110" s="13" t="s">
        <v>15</v>
      </c>
      <c r="AM110" s="13" t="s">
        <v>16</v>
      </c>
      <c r="AN110" s="13" t="s">
        <v>16</v>
      </c>
      <c r="AO110" s="13" t="s">
        <v>16</v>
      </c>
      <c r="AP110" s="13" t="s">
        <v>15</v>
      </c>
      <c r="AQ110" s="13" t="s">
        <v>7</v>
      </c>
      <c r="AR110" s="13" t="s">
        <v>15</v>
      </c>
      <c r="AS110" s="13" t="s">
        <v>7</v>
      </c>
      <c r="AT110" s="25" t="s">
        <v>7</v>
      </c>
    </row>
    <row r="111" spans="1:46" ht="12.75" customHeight="1" x14ac:dyDescent="0.3">
      <c r="A111" s="121"/>
      <c r="B111" s="106"/>
      <c r="C111" s="106"/>
      <c r="D111" s="98"/>
      <c r="E111" s="98"/>
      <c r="F111" s="98"/>
      <c r="G111" s="129"/>
      <c r="H111" s="129"/>
      <c r="I111" s="135"/>
      <c r="J111" s="26">
        <v>3</v>
      </c>
      <c r="K111" s="13">
        <v>3</v>
      </c>
      <c r="L111" s="13">
        <v>2</v>
      </c>
      <c r="M111" s="13">
        <v>2</v>
      </c>
      <c r="N111" s="13">
        <v>2</v>
      </c>
      <c r="O111" s="13">
        <v>2</v>
      </c>
      <c r="P111" s="13">
        <v>3</v>
      </c>
      <c r="Q111" s="13">
        <v>2</v>
      </c>
      <c r="R111" s="13">
        <v>3</v>
      </c>
      <c r="S111" s="13">
        <v>2</v>
      </c>
      <c r="T111" s="13">
        <v>4</v>
      </c>
      <c r="U111" s="13">
        <v>2</v>
      </c>
      <c r="V111" s="13">
        <v>3</v>
      </c>
      <c r="W111" s="13">
        <v>4</v>
      </c>
      <c r="X111" s="13">
        <v>2</v>
      </c>
      <c r="Y111" s="13">
        <v>2</v>
      </c>
      <c r="Z111" s="13">
        <v>3</v>
      </c>
      <c r="AA111" s="13">
        <v>3</v>
      </c>
      <c r="AB111" s="13">
        <v>1</v>
      </c>
      <c r="AC111" s="13">
        <v>2</v>
      </c>
      <c r="AD111" s="13">
        <v>3</v>
      </c>
      <c r="AE111" s="13">
        <v>2</v>
      </c>
      <c r="AF111" s="13">
        <v>2</v>
      </c>
      <c r="AG111" s="13">
        <v>4</v>
      </c>
      <c r="AH111" s="89">
        <v>2</v>
      </c>
      <c r="AI111" s="13">
        <v>2</v>
      </c>
      <c r="AJ111" s="13">
        <v>2</v>
      </c>
      <c r="AK111" s="13">
        <v>3</v>
      </c>
      <c r="AL111" s="13">
        <v>1</v>
      </c>
      <c r="AM111" s="13">
        <v>2</v>
      </c>
      <c r="AN111" s="13">
        <v>0</v>
      </c>
      <c r="AO111" s="13">
        <v>4</v>
      </c>
      <c r="AP111" s="13">
        <v>5</v>
      </c>
      <c r="AQ111" s="13">
        <v>3</v>
      </c>
      <c r="AR111" s="13">
        <v>2</v>
      </c>
      <c r="AS111" s="13">
        <v>2</v>
      </c>
      <c r="AT111" s="25">
        <v>3</v>
      </c>
    </row>
    <row r="112" spans="1:46" ht="12.75" customHeight="1" x14ac:dyDescent="0.3">
      <c r="A112" s="121"/>
      <c r="B112" s="117">
        <v>46199</v>
      </c>
      <c r="C112" s="105">
        <v>0.54166666666666663</v>
      </c>
      <c r="D112" s="97" t="s">
        <v>80</v>
      </c>
      <c r="E112" s="130" t="s">
        <v>64</v>
      </c>
      <c r="F112" s="130" t="s">
        <v>19</v>
      </c>
      <c r="G112" s="128"/>
      <c r="H112" s="128"/>
      <c r="I112" s="134" t="str">
        <f t="shared" ref="I112" si="26">IF(G112="","-",IF(G112&gt;H112,"L",IF(G112=H112,"E",IF(G112&lt;H112,"V"))))</f>
        <v>-</v>
      </c>
      <c r="J112" s="23" t="s">
        <v>15</v>
      </c>
      <c r="K112" s="18" t="s">
        <v>15</v>
      </c>
      <c r="L112" s="18" t="s">
        <v>15</v>
      </c>
      <c r="M112" s="18" t="s">
        <v>15</v>
      </c>
      <c r="N112" s="18" t="s">
        <v>15</v>
      </c>
      <c r="O112" s="18" t="s">
        <v>15</v>
      </c>
      <c r="P112" s="18" t="s">
        <v>15</v>
      </c>
      <c r="Q112" s="18" t="s">
        <v>16</v>
      </c>
      <c r="R112" s="18" t="s">
        <v>15</v>
      </c>
      <c r="S112" s="18" t="s">
        <v>15</v>
      </c>
      <c r="T112" s="18" t="s">
        <v>15</v>
      </c>
      <c r="U112" s="18" t="s">
        <v>15</v>
      </c>
      <c r="V112" s="18" t="s">
        <v>15</v>
      </c>
      <c r="W112" s="18" t="s">
        <v>15</v>
      </c>
      <c r="X112" s="18" t="s">
        <v>15</v>
      </c>
      <c r="Y112" s="18" t="s">
        <v>15</v>
      </c>
      <c r="Z112" s="18" t="s">
        <v>15</v>
      </c>
      <c r="AA112" s="18" t="s">
        <v>15</v>
      </c>
      <c r="AB112" s="18" t="s">
        <v>15</v>
      </c>
      <c r="AC112" s="18" t="s">
        <v>15</v>
      </c>
      <c r="AD112" s="18" t="s">
        <v>15</v>
      </c>
      <c r="AE112" s="18" t="s">
        <v>15</v>
      </c>
      <c r="AF112" s="18" t="s">
        <v>15</v>
      </c>
      <c r="AG112" s="18" t="s">
        <v>15</v>
      </c>
      <c r="AH112" s="87" t="s">
        <v>15</v>
      </c>
      <c r="AI112" s="18" t="s">
        <v>15</v>
      </c>
      <c r="AJ112" s="18" t="s">
        <v>16</v>
      </c>
      <c r="AK112" s="18" t="s">
        <v>15</v>
      </c>
      <c r="AL112" s="18" t="s">
        <v>15</v>
      </c>
      <c r="AM112" s="18" t="s">
        <v>15</v>
      </c>
      <c r="AN112" s="18" t="s">
        <v>15</v>
      </c>
      <c r="AO112" s="18" t="s">
        <v>15</v>
      </c>
      <c r="AP112" s="18" t="s">
        <v>15</v>
      </c>
      <c r="AQ112" s="18" t="s">
        <v>16</v>
      </c>
      <c r="AR112" s="18" t="s">
        <v>7</v>
      </c>
      <c r="AS112" s="18" t="s">
        <v>7</v>
      </c>
      <c r="AT112" s="24" t="s">
        <v>15</v>
      </c>
    </row>
    <row r="113" spans="1:46" ht="12.75" customHeight="1" x14ac:dyDescent="0.3">
      <c r="A113" s="121"/>
      <c r="B113" s="106"/>
      <c r="C113" s="106"/>
      <c r="D113" s="98"/>
      <c r="E113" s="98"/>
      <c r="F113" s="98"/>
      <c r="G113" s="129"/>
      <c r="H113" s="129"/>
      <c r="I113" s="135"/>
      <c r="J113" s="23">
        <v>2</v>
      </c>
      <c r="K113" s="18">
        <v>3</v>
      </c>
      <c r="L113" s="18">
        <v>3</v>
      </c>
      <c r="M113" s="18">
        <v>4</v>
      </c>
      <c r="N113" s="18">
        <v>2</v>
      </c>
      <c r="O113" s="18">
        <v>3</v>
      </c>
      <c r="P113" s="18">
        <v>3</v>
      </c>
      <c r="Q113" s="18">
        <v>2</v>
      </c>
      <c r="R113" s="18">
        <v>3</v>
      </c>
      <c r="S113" s="18">
        <v>3</v>
      </c>
      <c r="T113" s="18">
        <v>3</v>
      </c>
      <c r="U113" s="18">
        <v>2</v>
      </c>
      <c r="V113" s="18">
        <v>3</v>
      </c>
      <c r="W113" s="18">
        <v>5</v>
      </c>
      <c r="X113" s="18">
        <v>3</v>
      </c>
      <c r="Y113" s="18">
        <v>3</v>
      </c>
      <c r="Z113" s="18">
        <v>3</v>
      </c>
      <c r="AA113" s="18">
        <v>3</v>
      </c>
      <c r="AB113" s="18">
        <v>2</v>
      </c>
      <c r="AC113" s="18">
        <v>2</v>
      </c>
      <c r="AD113" s="18">
        <v>3</v>
      </c>
      <c r="AE113" s="18">
        <v>2</v>
      </c>
      <c r="AF113" s="18">
        <v>3</v>
      </c>
      <c r="AG113" s="18">
        <v>4</v>
      </c>
      <c r="AH113" s="87">
        <v>3</v>
      </c>
      <c r="AI113" s="18">
        <v>3</v>
      </c>
      <c r="AJ113" s="18">
        <v>2</v>
      </c>
      <c r="AK113" s="18">
        <v>3</v>
      </c>
      <c r="AL113" s="18">
        <v>1</v>
      </c>
      <c r="AM113" s="18">
        <v>3</v>
      </c>
      <c r="AN113" s="18">
        <v>4</v>
      </c>
      <c r="AO113" s="18">
        <v>3</v>
      </c>
      <c r="AP113" s="18">
        <v>4</v>
      </c>
      <c r="AQ113" s="18">
        <v>2</v>
      </c>
      <c r="AR113" s="18">
        <v>3</v>
      </c>
      <c r="AS113" s="18">
        <v>1</v>
      </c>
      <c r="AT113" s="24">
        <v>3</v>
      </c>
    </row>
    <row r="114" spans="1:46" ht="12.75" customHeight="1" x14ac:dyDescent="0.3">
      <c r="A114" s="121"/>
      <c r="B114" s="117">
        <v>46199</v>
      </c>
      <c r="C114" s="105">
        <v>0.54166666666666663</v>
      </c>
      <c r="D114" s="97" t="s">
        <v>84</v>
      </c>
      <c r="E114" s="130" t="s">
        <v>65</v>
      </c>
      <c r="F114" s="130" t="s">
        <v>63</v>
      </c>
      <c r="G114" s="128"/>
      <c r="H114" s="128"/>
      <c r="I114" s="134" t="str">
        <f t="shared" ref="I114" si="27">IF(G114="","-",IF(G114&gt;H114,"L",IF(G114=H114,"E",IF(G114&lt;H114,"V"))))</f>
        <v>-</v>
      </c>
      <c r="J114" s="26" t="s">
        <v>7</v>
      </c>
      <c r="K114" s="13" t="s">
        <v>7</v>
      </c>
      <c r="L114" s="13" t="s">
        <v>7</v>
      </c>
      <c r="M114" s="13" t="s">
        <v>16</v>
      </c>
      <c r="N114" s="13" t="s">
        <v>16</v>
      </c>
      <c r="O114" s="13" t="s">
        <v>16</v>
      </c>
      <c r="P114" s="13" t="s">
        <v>7</v>
      </c>
      <c r="Q114" s="13" t="s">
        <v>7</v>
      </c>
      <c r="R114" s="13" t="s">
        <v>16</v>
      </c>
      <c r="S114" s="13" t="s">
        <v>7</v>
      </c>
      <c r="T114" s="13" t="s">
        <v>7</v>
      </c>
      <c r="U114" s="13" t="s">
        <v>7</v>
      </c>
      <c r="V114" s="13" t="s">
        <v>7</v>
      </c>
      <c r="W114" s="13" t="s">
        <v>16</v>
      </c>
      <c r="X114" s="13" t="s">
        <v>7</v>
      </c>
      <c r="Y114" s="13" t="s">
        <v>7</v>
      </c>
      <c r="Z114" s="13" t="s">
        <v>16</v>
      </c>
      <c r="AA114" s="13" t="s">
        <v>7</v>
      </c>
      <c r="AB114" s="13" t="s">
        <v>16</v>
      </c>
      <c r="AC114" s="13" t="s">
        <v>7</v>
      </c>
      <c r="AD114" s="13" t="s">
        <v>7</v>
      </c>
      <c r="AE114" s="13" t="s">
        <v>7</v>
      </c>
      <c r="AF114" s="13" t="s">
        <v>7</v>
      </c>
      <c r="AG114" s="13" t="s">
        <v>16</v>
      </c>
      <c r="AH114" s="89" t="s">
        <v>7</v>
      </c>
      <c r="AI114" s="13" t="s">
        <v>7</v>
      </c>
      <c r="AJ114" s="13" t="s">
        <v>16</v>
      </c>
      <c r="AK114" s="13" t="s">
        <v>7</v>
      </c>
      <c r="AL114" s="13" t="s">
        <v>16</v>
      </c>
      <c r="AM114" s="13" t="s">
        <v>7</v>
      </c>
      <c r="AN114" s="13" t="s">
        <v>7</v>
      </c>
      <c r="AO114" s="13" t="s">
        <v>7</v>
      </c>
      <c r="AP114" s="13" t="s">
        <v>16</v>
      </c>
      <c r="AQ114" s="13" t="s">
        <v>7</v>
      </c>
      <c r="AR114" s="13" t="s">
        <v>7</v>
      </c>
      <c r="AS114" s="13" t="s">
        <v>7</v>
      </c>
      <c r="AT114" s="25" t="s">
        <v>16</v>
      </c>
    </row>
    <row r="115" spans="1:46" ht="12.75" customHeight="1" x14ac:dyDescent="0.3">
      <c r="A115" s="122"/>
      <c r="B115" s="106"/>
      <c r="C115" s="106"/>
      <c r="D115" s="98"/>
      <c r="E115" s="98"/>
      <c r="F115" s="98"/>
      <c r="G115" s="129"/>
      <c r="H115" s="129"/>
      <c r="I115" s="135"/>
      <c r="J115" s="26">
        <v>2</v>
      </c>
      <c r="K115" s="13">
        <v>2</v>
      </c>
      <c r="L115" s="13">
        <v>2</v>
      </c>
      <c r="M115" s="13">
        <v>2</v>
      </c>
      <c r="N115" s="13">
        <v>4</v>
      </c>
      <c r="O115" s="13">
        <v>4</v>
      </c>
      <c r="P115" s="13">
        <v>3</v>
      </c>
      <c r="Q115" s="13">
        <v>2</v>
      </c>
      <c r="R115" s="13">
        <v>2</v>
      </c>
      <c r="S115" s="13">
        <v>2</v>
      </c>
      <c r="T115" s="13">
        <v>3</v>
      </c>
      <c r="U115" s="13">
        <v>2</v>
      </c>
      <c r="V115" s="13">
        <v>4</v>
      </c>
      <c r="W115" s="13">
        <v>4</v>
      </c>
      <c r="X115" s="13">
        <v>3</v>
      </c>
      <c r="Y115" s="13">
        <v>2</v>
      </c>
      <c r="Z115" s="13">
        <v>2</v>
      </c>
      <c r="AA115" s="13">
        <v>2</v>
      </c>
      <c r="AB115" s="13">
        <v>4</v>
      </c>
      <c r="AC115" s="13">
        <v>1</v>
      </c>
      <c r="AD115" s="13">
        <v>2</v>
      </c>
      <c r="AE115" s="13">
        <v>3</v>
      </c>
      <c r="AF115" s="13">
        <v>1</v>
      </c>
      <c r="AG115" s="13">
        <v>0</v>
      </c>
      <c r="AH115" s="89">
        <v>2</v>
      </c>
      <c r="AI115" s="13">
        <v>2</v>
      </c>
      <c r="AJ115" s="13">
        <v>4</v>
      </c>
      <c r="AK115" s="13">
        <v>2</v>
      </c>
      <c r="AL115" s="13">
        <v>4</v>
      </c>
      <c r="AM115" s="13">
        <v>2</v>
      </c>
      <c r="AN115" s="13">
        <v>4</v>
      </c>
      <c r="AO115" s="13">
        <v>3</v>
      </c>
      <c r="AP115" s="13">
        <v>4</v>
      </c>
      <c r="AQ115" s="13">
        <v>2</v>
      </c>
      <c r="AR115" s="13">
        <v>4</v>
      </c>
      <c r="AS115" s="13">
        <v>4</v>
      </c>
      <c r="AT115" s="25">
        <v>2</v>
      </c>
    </row>
    <row r="116" spans="1:46" ht="12.75" customHeight="1" x14ac:dyDescent="0.3">
      <c r="A116" s="131" t="s">
        <v>51</v>
      </c>
      <c r="B116" s="116">
        <v>46189</v>
      </c>
      <c r="C116" s="107">
        <v>0.79166666666666663</v>
      </c>
      <c r="D116" s="99" t="s">
        <v>93</v>
      </c>
      <c r="E116" s="125" t="s">
        <v>66</v>
      </c>
      <c r="F116" s="125" t="s">
        <v>68</v>
      </c>
      <c r="G116" s="126">
        <v>3</v>
      </c>
      <c r="H116" s="126">
        <v>0</v>
      </c>
      <c r="I116" s="123" t="str">
        <f t="shared" ref="I116" si="28">IF(G116="","-",IF(G116&gt;H116,"L",IF(G116=H116,"E",IF(G116&lt;H116,"V"))))</f>
        <v>L</v>
      </c>
      <c r="J116" s="27" t="s">
        <v>7</v>
      </c>
      <c r="K116" s="19" t="s">
        <v>7</v>
      </c>
      <c r="L116" s="19" t="s">
        <v>7</v>
      </c>
      <c r="M116" s="19" t="s">
        <v>7</v>
      </c>
      <c r="N116" s="19" t="s">
        <v>7</v>
      </c>
      <c r="O116" s="19" t="s">
        <v>7</v>
      </c>
      <c r="P116" s="19" t="s">
        <v>7</v>
      </c>
      <c r="Q116" s="19" t="s">
        <v>7</v>
      </c>
      <c r="R116" s="19" t="s">
        <v>7</v>
      </c>
      <c r="S116" s="19" t="s">
        <v>7</v>
      </c>
      <c r="T116" s="19" t="s">
        <v>7</v>
      </c>
      <c r="U116" s="19" t="s">
        <v>7</v>
      </c>
      <c r="V116" s="19" t="s">
        <v>7</v>
      </c>
      <c r="W116" s="19" t="s">
        <v>7</v>
      </c>
      <c r="X116" s="19" t="s">
        <v>7</v>
      </c>
      <c r="Y116" s="19" t="s">
        <v>7</v>
      </c>
      <c r="Z116" s="19" t="s">
        <v>7</v>
      </c>
      <c r="AA116" s="19" t="s">
        <v>7</v>
      </c>
      <c r="AB116" s="19" t="s">
        <v>7</v>
      </c>
      <c r="AC116" s="19" t="s">
        <v>7</v>
      </c>
      <c r="AD116" s="19" t="s">
        <v>7</v>
      </c>
      <c r="AE116" s="19" t="s">
        <v>7</v>
      </c>
      <c r="AF116" s="19" t="s">
        <v>7</v>
      </c>
      <c r="AG116" s="19" t="s">
        <v>7</v>
      </c>
      <c r="AH116" s="91" t="s">
        <v>7</v>
      </c>
      <c r="AI116" s="19" t="s">
        <v>7</v>
      </c>
      <c r="AJ116" s="19" t="s">
        <v>7</v>
      </c>
      <c r="AK116" s="19" t="s">
        <v>7</v>
      </c>
      <c r="AL116" s="19" t="s">
        <v>7</v>
      </c>
      <c r="AM116" s="19" t="s">
        <v>7</v>
      </c>
      <c r="AN116" s="19" t="s">
        <v>7</v>
      </c>
      <c r="AO116" s="19" t="s">
        <v>7</v>
      </c>
      <c r="AP116" s="19" t="s">
        <v>7</v>
      </c>
      <c r="AQ116" s="19" t="s">
        <v>7</v>
      </c>
      <c r="AR116" s="19" t="s">
        <v>7</v>
      </c>
      <c r="AS116" s="19" t="s">
        <v>7</v>
      </c>
      <c r="AT116" s="28" t="s">
        <v>7</v>
      </c>
    </row>
    <row r="117" spans="1:46" ht="12.75" customHeight="1" x14ac:dyDescent="0.3">
      <c r="A117" s="132"/>
      <c r="B117" s="108"/>
      <c r="C117" s="108"/>
      <c r="D117" s="100"/>
      <c r="E117" s="100"/>
      <c r="F117" s="100"/>
      <c r="G117" s="127"/>
      <c r="H117" s="127"/>
      <c r="I117" s="124"/>
      <c r="J117" s="27">
        <v>3</v>
      </c>
      <c r="K117" s="19">
        <v>2</v>
      </c>
      <c r="L117" s="19">
        <v>3</v>
      </c>
      <c r="M117" s="19">
        <v>1</v>
      </c>
      <c r="N117" s="19">
        <v>3</v>
      </c>
      <c r="O117" s="19">
        <v>3</v>
      </c>
      <c r="P117" s="19">
        <v>4</v>
      </c>
      <c r="Q117" s="19">
        <v>2</v>
      </c>
      <c r="R117" s="19">
        <v>3</v>
      </c>
      <c r="S117" s="19">
        <v>2</v>
      </c>
      <c r="T117" s="19">
        <v>3</v>
      </c>
      <c r="U117" s="19">
        <v>3</v>
      </c>
      <c r="V117" s="19">
        <v>3</v>
      </c>
      <c r="W117" s="19">
        <v>3</v>
      </c>
      <c r="X117" s="19">
        <v>3</v>
      </c>
      <c r="Y117" s="19">
        <v>3</v>
      </c>
      <c r="Z117" s="19">
        <v>1</v>
      </c>
      <c r="AA117" s="19">
        <v>3</v>
      </c>
      <c r="AB117" s="19">
        <v>3</v>
      </c>
      <c r="AC117" s="19">
        <v>3</v>
      </c>
      <c r="AD117" s="19">
        <v>2</v>
      </c>
      <c r="AE117" s="19">
        <v>4</v>
      </c>
      <c r="AF117" s="19">
        <v>3</v>
      </c>
      <c r="AG117" s="19">
        <v>3</v>
      </c>
      <c r="AH117" s="91">
        <v>3</v>
      </c>
      <c r="AI117" s="19">
        <v>3</v>
      </c>
      <c r="AJ117" s="19">
        <v>4</v>
      </c>
      <c r="AK117" s="19">
        <v>3</v>
      </c>
      <c r="AL117" s="19">
        <v>3</v>
      </c>
      <c r="AM117" s="19">
        <v>3</v>
      </c>
      <c r="AN117" s="19">
        <v>4</v>
      </c>
      <c r="AO117" s="19">
        <v>2</v>
      </c>
      <c r="AP117" s="19">
        <v>3</v>
      </c>
      <c r="AQ117" s="19">
        <v>2</v>
      </c>
      <c r="AR117" s="19">
        <v>1</v>
      </c>
      <c r="AS117" s="19">
        <v>3</v>
      </c>
      <c r="AT117" s="28">
        <v>3</v>
      </c>
    </row>
    <row r="118" spans="1:46" ht="12.75" customHeight="1" x14ac:dyDescent="0.3">
      <c r="A118" s="132"/>
      <c r="B118" s="116">
        <v>46189</v>
      </c>
      <c r="C118" s="107">
        <v>0.91666666666666663</v>
      </c>
      <c r="D118" s="99" t="s">
        <v>85</v>
      </c>
      <c r="E118" s="125" t="s">
        <v>26</v>
      </c>
      <c r="F118" s="125" t="s">
        <v>67</v>
      </c>
      <c r="G118" s="126">
        <v>3</v>
      </c>
      <c r="H118" s="126">
        <v>1</v>
      </c>
      <c r="I118" s="123" t="str">
        <f t="shared" ref="I118" si="29">IF(G118="","-",IF(G118&gt;H118,"L",IF(G118=H118,"E",IF(G118&lt;H118,"V"))))</f>
        <v>L</v>
      </c>
      <c r="J118" s="26" t="s">
        <v>7</v>
      </c>
      <c r="K118" s="13" t="s">
        <v>7</v>
      </c>
      <c r="L118" s="13" t="s">
        <v>7</v>
      </c>
      <c r="M118" s="13" t="s">
        <v>16</v>
      </c>
      <c r="N118" s="13" t="s">
        <v>7</v>
      </c>
      <c r="O118" s="13" t="s">
        <v>7</v>
      </c>
      <c r="P118" s="13" t="s">
        <v>7</v>
      </c>
      <c r="Q118" s="13" t="s">
        <v>7</v>
      </c>
      <c r="R118" s="13" t="s">
        <v>7</v>
      </c>
      <c r="S118" s="13" t="s">
        <v>7</v>
      </c>
      <c r="T118" s="13" t="s">
        <v>7</v>
      </c>
      <c r="U118" s="13" t="s">
        <v>7</v>
      </c>
      <c r="V118" s="13" t="s">
        <v>7</v>
      </c>
      <c r="W118" s="13" t="s">
        <v>7</v>
      </c>
      <c r="X118" s="13" t="s">
        <v>7</v>
      </c>
      <c r="Y118" s="13" t="s">
        <v>7</v>
      </c>
      <c r="Z118" s="13" t="s">
        <v>15</v>
      </c>
      <c r="AA118" s="13" t="s">
        <v>7</v>
      </c>
      <c r="AB118" s="13" t="s">
        <v>16</v>
      </c>
      <c r="AC118" s="13" t="s">
        <v>7</v>
      </c>
      <c r="AD118" s="13" t="s">
        <v>7</v>
      </c>
      <c r="AE118" s="13" t="s">
        <v>7</v>
      </c>
      <c r="AF118" s="13" t="s">
        <v>16</v>
      </c>
      <c r="AG118" s="13" t="s">
        <v>16</v>
      </c>
      <c r="AH118" s="89" t="s">
        <v>7</v>
      </c>
      <c r="AI118" s="13" t="s">
        <v>7</v>
      </c>
      <c r="AJ118" s="13" t="s">
        <v>7</v>
      </c>
      <c r="AK118" s="13" t="s">
        <v>7</v>
      </c>
      <c r="AL118" s="13" t="s">
        <v>16</v>
      </c>
      <c r="AM118" s="13" t="s">
        <v>7</v>
      </c>
      <c r="AN118" s="13" t="s">
        <v>7</v>
      </c>
      <c r="AO118" s="13" t="s">
        <v>7</v>
      </c>
      <c r="AP118" s="13" t="s">
        <v>7</v>
      </c>
      <c r="AQ118" s="13" t="s">
        <v>7</v>
      </c>
      <c r="AR118" s="13" t="s">
        <v>16</v>
      </c>
      <c r="AS118" s="13" t="s">
        <v>7</v>
      </c>
      <c r="AT118" s="25" t="s">
        <v>7</v>
      </c>
    </row>
    <row r="119" spans="1:46" ht="12.75" customHeight="1" x14ac:dyDescent="0.3">
      <c r="A119" s="132"/>
      <c r="B119" s="108"/>
      <c r="C119" s="108"/>
      <c r="D119" s="100"/>
      <c r="E119" s="100"/>
      <c r="F119" s="100"/>
      <c r="G119" s="127"/>
      <c r="H119" s="127"/>
      <c r="I119" s="124"/>
      <c r="J119" s="26">
        <v>2</v>
      </c>
      <c r="K119" s="13">
        <v>2</v>
      </c>
      <c r="L119" s="13">
        <v>2</v>
      </c>
      <c r="M119" s="13">
        <v>2</v>
      </c>
      <c r="N119" s="13">
        <v>2</v>
      </c>
      <c r="O119" s="13">
        <v>3</v>
      </c>
      <c r="P119" s="13">
        <v>2</v>
      </c>
      <c r="Q119" s="13">
        <v>1</v>
      </c>
      <c r="R119" s="13">
        <v>2</v>
      </c>
      <c r="S119" s="13">
        <v>2</v>
      </c>
      <c r="T119" s="13">
        <v>3</v>
      </c>
      <c r="U119" s="13">
        <v>2</v>
      </c>
      <c r="V119" s="13">
        <v>2</v>
      </c>
      <c r="W119" s="13">
        <v>4</v>
      </c>
      <c r="X119" s="13">
        <v>2</v>
      </c>
      <c r="Y119" s="13">
        <v>3</v>
      </c>
      <c r="Z119" s="13">
        <v>3</v>
      </c>
      <c r="AA119" s="13">
        <v>2</v>
      </c>
      <c r="AB119" s="13">
        <v>2</v>
      </c>
      <c r="AC119" s="13">
        <v>1</v>
      </c>
      <c r="AD119" s="13">
        <v>2</v>
      </c>
      <c r="AE119" s="13">
        <v>3</v>
      </c>
      <c r="AF119" s="13">
        <v>1</v>
      </c>
      <c r="AG119" s="13">
        <v>0</v>
      </c>
      <c r="AH119" s="89">
        <v>2</v>
      </c>
      <c r="AI119" s="13">
        <v>2</v>
      </c>
      <c r="AJ119" s="13">
        <v>2</v>
      </c>
      <c r="AK119" s="13">
        <v>3</v>
      </c>
      <c r="AL119" s="13">
        <v>2</v>
      </c>
      <c r="AM119" s="13">
        <v>2</v>
      </c>
      <c r="AN119" s="13">
        <v>3</v>
      </c>
      <c r="AO119" s="13">
        <v>2</v>
      </c>
      <c r="AP119" s="13">
        <v>1</v>
      </c>
      <c r="AQ119" s="13">
        <v>2</v>
      </c>
      <c r="AR119" s="13">
        <v>0</v>
      </c>
      <c r="AS119" s="13">
        <v>3</v>
      </c>
      <c r="AT119" s="25">
        <v>3</v>
      </c>
    </row>
    <row r="120" spans="1:46" ht="12.75" customHeight="1" x14ac:dyDescent="0.3">
      <c r="A120" s="132"/>
      <c r="B120" s="116">
        <v>46195</v>
      </c>
      <c r="C120" s="107">
        <v>0.45833333333333331</v>
      </c>
      <c r="D120" s="99" t="s">
        <v>88</v>
      </c>
      <c r="E120" s="125" t="s">
        <v>66</v>
      </c>
      <c r="F120" s="125" t="s">
        <v>26</v>
      </c>
      <c r="G120" s="126"/>
      <c r="H120" s="126"/>
      <c r="I120" s="123" t="str">
        <f t="shared" ref="I120" si="30">IF(G120="","-",IF(G120&gt;H120,"L",IF(G120=H120,"E",IF(G120&lt;H120,"V"))))</f>
        <v>-</v>
      </c>
      <c r="J120" s="27" t="s">
        <v>7</v>
      </c>
      <c r="K120" s="19" t="s">
        <v>7</v>
      </c>
      <c r="L120" s="19" t="s">
        <v>7</v>
      </c>
      <c r="M120" s="19" t="s">
        <v>7</v>
      </c>
      <c r="N120" s="19" t="s">
        <v>7</v>
      </c>
      <c r="O120" s="19" t="s">
        <v>7</v>
      </c>
      <c r="P120" s="19" t="s">
        <v>7</v>
      </c>
      <c r="Q120" s="19" t="s">
        <v>7</v>
      </c>
      <c r="R120" s="19" t="s">
        <v>7</v>
      </c>
      <c r="S120" s="19" t="s">
        <v>7</v>
      </c>
      <c r="T120" s="19" t="s">
        <v>7</v>
      </c>
      <c r="U120" s="19" t="s">
        <v>7</v>
      </c>
      <c r="V120" s="19" t="s">
        <v>7</v>
      </c>
      <c r="W120" s="19" t="s">
        <v>7</v>
      </c>
      <c r="X120" s="19" t="s">
        <v>7</v>
      </c>
      <c r="Y120" s="19" t="s">
        <v>7</v>
      </c>
      <c r="Z120" s="19" t="s">
        <v>7</v>
      </c>
      <c r="AA120" s="19" t="s">
        <v>7</v>
      </c>
      <c r="AB120" s="19" t="s">
        <v>7</v>
      </c>
      <c r="AC120" s="19" t="s">
        <v>7</v>
      </c>
      <c r="AD120" s="19" t="s">
        <v>7</v>
      </c>
      <c r="AE120" s="19" t="s">
        <v>7</v>
      </c>
      <c r="AF120" s="19" t="s">
        <v>7</v>
      </c>
      <c r="AG120" s="19" t="s">
        <v>7</v>
      </c>
      <c r="AH120" s="91" t="s">
        <v>7</v>
      </c>
      <c r="AI120" s="19" t="s">
        <v>7</v>
      </c>
      <c r="AJ120" s="19" t="s">
        <v>7</v>
      </c>
      <c r="AK120" s="19" t="s">
        <v>7</v>
      </c>
      <c r="AL120" s="19" t="s">
        <v>7</v>
      </c>
      <c r="AM120" s="19" t="s">
        <v>7</v>
      </c>
      <c r="AN120" s="19" t="s">
        <v>7</v>
      </c>
      <c r="AO120" s="19" t="s">
        <v>7</v>
      </c>
      <c r="AP120" s="19" t="s">
        <v>7</v>
      </c>
      <c r="AQ120" s="19" t="s">
        <v>7</v>
      </c>
      <c r="AR120" s="19" t="s">
        <v>7</v>
      </c>
      <c r="AS120" s="19" t="s">
        <v>16</v>
      </c>
      <c r="AT120" s="28" t="s">
        <v>7</v>
      </c>
    </row>
    <row r="121" spans="1:46" ht="12.75" customHeight="1" x14ac:dyDescent="0.3">
      <c r="A121" s="132"/>
      <c r="B121" s="108"/>
      <c r="C121" s="108"/>
      <c r="D121" s="100"/>
      <c r="E121" s="100"/>
      <c r="F121" s="100"/>
      <c r="G121" s="127"/>
      <c r="H121" s="127"/>
      <c r="I121" s="124"/>
      <c r="J121" s="27">
        <v>2</v>
      </c>
      <c r="K121" s="19">
        <v>3</v>
      </c>
      <c r="L121" s="19">
        <v>2</v>
      </c>
      <c r="M121" s="19">
        <v>3</v>
      </c>
      <c r="N121" s="19">
        <v>5</v>
      </c>
      <c r="O121" s="19">
        <v>3</v>
      </c>
      <c r="P121" s="19">
        <v>3</v>
      </c>
      <c r="Q121" s="19">
        <v>3</v>
      </c>
      <c r="R121" s="19">
        <v>3</v>
      </c>
      <c r="S121" s="19">
        <v>2</v>
      </c>
      <c r="T121" s="19">
        <v>2</v>
      </c>
      <c r="U121" s="19">
        <v>2</v>
      </c>
      <c r="V121" s="19">
        <v>3</v>
      </c>
      <c r="W121" s="19">
        <v>4</v>
      </c>
      <c r="X121" s="19">
        <v>3</v>
      </c>
      <c r="Y121" s="19">
        <v>3</v>
      </c>
      <c r="Z121" s="19">
        <v>2</v>
      </c>
      <c r="AA121" s="19">
        <v>3</v>
      </c>
      <c r="AB121" s="19">
        <v>1</v>
      </c>
      <c r="AC121" s="19">
        <v>2</v>
      </c>
      <c r="AD121" s="19">
        <v>3</v>
      </c>
      <c r="AE121" s="19">
        <v>3</v>
      </c>
      <c r="AF121" s="19">
        <v>4</v>
      </c>
      <c r="AG121" s="19">
        <v>2</v>
      </c>
      <c r="AH121" s="91">
        <v>3</v>
      </c>
      <c r="AI121" s="19">
        <v>3</v>
      </c>
      <c r="AJ121" s="19">
        <v>4</v>
      </c>
      <c r="AK121" s="19">
        <v>3</v>
      </c>
      <c r="AL121" s="19">
        <v>1</v>
      </c>
      <c r="AM121" s="19">
        <v>3</v>
      </c>
      <c r="AN121" s="19">
        <v>3</v>
      </c>
      <c r="AO121" s="19">
        <v>3</v>
      </c>
      <c r="AP121" s="19">
        <v>2</v>
      </c>
      <c r="AQ121" s="19">
        <v>2</v>
      </c>
      <c r="AR121" s="19">
        <v>2</v>
      </c>
      <c r="AS121" s="19">
        <v>4</v>
      </c>
      <c r="AT121" s="28">
        <v>3</v>
      </c>
    </row>
    <row r="122" spans="1:46" ht="12.75" customHeight="1" x14ac:dyDescent="0.3">
      <c r="A122" s="132"/>
      <c r="B122" s="116">
        <v>46195</v>
      </c>
      <c r="C122" s="107">
        <v>0.875</v>
      </c>
      <c r="D122" s="99" t="s">
        <v>85</v>
      </c>
      <c r="E122" s="125" t="s">
        <v>67</v>
      </c>
      <c r="F122" s="125" t="s">
        <v>68</v>
      </c>
      <c r="G122" s="126"/>
      <c r="H122" s="126"/>
      <c r="I122" s="123" t="str">
        <f t="shared" ref="I122" si="31">IF(G122="","-",IF(G122&gt;H122,"L",IF(G122=H122,"E",IF(G122&lt;H122,"V"))))</f>
        <v>-</v>
      </c>
      <c r="J122" s="26" t="s">
        <v>15</v>
      </c>
      <c r="K122" s="13" t="s">
        <v>15</v>
      </c>
      <c r="L122" s="13" t="s">
        <v>16</v>
      </c>
      <c r="M122" s="13" t="s">
        <v>15</v>
      </c>
      <c r="N122" s="13" t="s">
        <v>16</v>
      </c>
      <c r="O122" s="13" t="s">
        <v>16</v>
      </c>
      <c r="P122" s="13" t="s">
        <v>7</v>
      </c>
      <c r="Q122" s="13" t="s">
        <v>15</v>
      </c>
      <c r="R122" s="13" t="s">
        <v>16</v>
      </c>
      <c r="S122" s="13" t="s">
        <v>15</v>
      </c>
      <c r="T122" s="13" t="s">
        <v>16</v>
      </c>
      <c r="U122" s="13" t="s">
        <v>15</v>
      </c>
      <c r="V122" s="13" t="s">
        <v>16</v>
      </c>
      <c r="W122" s="13" t="s">
        <v>16</v>
      </c>
      <c r="X122" s="13" t="s">
        <v>16</v>
      </c>
      <c r="Y122" s="13" t="s">
        <v>15</v>
      </c>
      <c r="Z122" s="13" t="s">
        <v>16</v>
      </c>
      <c r="AA122" s="13" t="s">
        <v>15</v>
      </c>
      <c r="AB122" s="13" t="s">
        <v>15</v>
      </c>
      <c r="AC122" s="13" t="s">
        <v>15</v>
      </c>
      <c r="AD122" s="13" t="s">
        <v>15</v>
      </c>
      <c r="AE122" s="13" t="s">
        <v>16</v>
      </c>
      <c r="AF122" s="13" t="s">
        <v>16</v>
      </c>
      <c r="AG122" s="13" t="s">
        <v>16</v>
      </c>
      <c r="AH122" s="89" t="s">
        <v>16</v>
      </c>
      <c r="AI122" s="13" t="s">
        <v>15</v>
      </c>
      <c r="AJ122" s="13" t="s">
        <v>7</v>
      </c>
      <c r="AK122" s="13" t="s">
        <v>16</v>
      </c>
      <c r="AL122" s="13" t="s">
        <v>15</v>
      </c>
      <c r="AM122" s="13" t="s">
        <v>15</v>
      </c>
      <c r="AN122" s="13" t="s">
        <v>15</v>
      </c>
      <c r="AO122" s="13" t="s">
        <v>15</v>
      </c>
      <c r="AP122" s="13" t="s">
        <v>15</v>
      </c>
      <c r="AQ122" s="13" t="s">
        <v>16</v>
      </c>
      <c r="AR122" s="13" t="s">
        <v>15</v>
      </c>
      <c r="AS122" s="13" t="s">
        <v>15</v>
      </c>
      <c r="AT122" s="25" t="s">
        <v>16</v>
      </c>
    </row>
    <row r="123" spans="1:46" ht="12.75" customHeight="1" x14ac:dyDescent="0.3">
      <c r="A123" s="132"/>
      <c r="B123" s="108"/>
      <c r="C123" s="108"/>
      <c r="D123" s="100"/>
      <c r="E123" s="100"/>
      <c r="F123" s="100"/>
      <c r="G123" s="127"/>
      <c r="H123" s="127"/>
      <c r="I123" s="124"/>
      <c r="J123" s="26">
        <v>1</v>
      </c>
      <c r="K123" s="13">
        <v>2</v>
      </c>
      <c r="L123" s="13">
        <v>1</v>
      </c>
      <c r="M123" s="13">
        <v>4</v>
      </c>
      <c r="N123" s="13">
        <v>2</v>
      </c>
      <c r="O123" s="13">
        <v>2</v>
      </c>
      <c r="P123" s="13">
        <v>2</v>
      </c>
      <c r="Q123" s="13">
        <v>3</v>
      </c>
      <c r="R123" s="13">
        <v>2</v>
      </c>
      <c r="S123" s="13">
        <v>1</v>
      </c>
      <c r="T123" s="13">
        <v>2</v>
      </c>
      <c r="U123" s="13">
        <v>2</v>
      </c>
      <c r="V123" s="13">
        <v>2</v>
      </c>
      <c r="W123" s="13">
        <v>4</v>
      </c>
      <c r="X123" s="13">
        <v>2</v>
      </c>
      <c r="Y123" s="13">
        <v>2</v>
      </c>
      <c r="Z123" s="13">
        <v>2</v>
      </c>
      <c r="AA123" s="13">
        <v>2</v>
      </c>
      <c r="AB123" s="13">
        <v>3</v>
      </c>
      <c r="AC123" s="13">
        <v>1</v>
      </c>
      <c r="AD123" s="13">
        <v>2</v>
      </c>
      <c r="AE123" s="13">
        <v>0</v>
      </c>
      <c r="AF123" s="13">
        <v>2</v>
      </c>
      <c r="AG123" s="13">
        <v>2</v>
      </c>
      <c r="AH123" s="89">
        <v>2</v>
      </c>
      <c r="AI123" s="13">
        <v>1</v>
      </c>
      <c r="AJ123" s="13">
        <v>3</v>
      </c>
      <c r="AK123" s="13">
        <v>2</v>
      </c>
      <c r="AL123" s="13">
        <v>3</v>
      </c>
      <c r="AM123" s="13">
        <v>3</v>
      </c>
      <c r="AN123" s="13">
        <v>3</v>
      </c>
      <c r="AO123" s="13">
        <v>3</v>
      </c>
      <c r="AP123" s="13">
        <v>2</v>
      </c>
      <c r="AQ123" s="13">
        <v>0</v>
      </c>
      <c r="AR123" s="13">
        <v>2</v>
      </c>
      <c r="AS123" s="13">
        <v>2</v>
      </c>
      <c r="AT123" s="25">
        <v>2</v>
      </c>
    </row>
    <row r="124" spans="1:46" ht="12.75" customHeight="1" x14ac:dyDescent="0.3">
      <c r="A124" s="132"/>
      <c r="B124" s="116">
        <v>46200</v>
      </c>
      <c r="C124" s="107">
        <v>0.83333333333333337</v>
      </c>
      <c r="D124" s="99" t="s">
        <v>88</v>
      </c>
      <c r="E124" s="125" t="s">
        <v>67</v>
      </c>
      <c r="F124" s="125" t="s">
        <v>66</v>
      </c>
      <c r="G124" s="126"/>
      <c r="H124" s="126"/>
      <c r="I124" s="123" t="str">
        <f t="shared" ref="I124" si="32">IF(G124="","-",IF(G124&gt;H124,"L",IF(G124=H124,"E",IF(G124&lt;H124,"V"))))</f>
        <v>-</v>
      </c>
      <c r="J124" s="27" t="s">
        <v>15</v>
      </c>
      <c r="K124" s="19" t="s">
        <v>15</v>
      </c>
      <c r="L124" s="19" t="s">
        <v>15</v>
      </c>
      <c r="M124" s="19" t="s">
        <v>7</v>
      </c>
      <c r="N124" s="19" t="s">
        <v>15</v>
      </c>
      <c r="O124" s="19" t="s">
        <v>15</v>
      </c>
      <c r="P124" s="19" t="s">
        <v>15</v>
      </c>
      <c r="Q124" s="19" t="s">
        <v>7</v>
      </c>
      <c r="R124" s="19" t="s">
        <v>15</v>
      </c>
      <c r="S124" s="19" t="s">
        <v>15</v>
      </c>
      <c r="T124" s="19" t="s">
        <v>15</v>
      </c>
      <c r="U124" s="19" t="s">
        <v>15</v>
      </c>
      <c r="V124" s="19" t="s">
        <v>15</v>
      </c>
      <c r="W124" s="19" t="s">
        <v>15</v>
      </c>
      <c r="X124" s="19" t="s">
        <v>15</v>
      </c>
      <c r="Y124" s="19" t="s">
        <v>15</v>
      </c>
      <c r="Z124" s="19" t="s">
        <v>15</v>
      </c>
      <c r="AA124" s="19" t="s">
        <v>15</v>
      </c>
      <c r="AB124" s="19" t="s">
        <v>15</v>
      </c>
      <c r="AC124" s="19" t="s">
        <v>15</v>
      </c>
      <c r="AD124" s="19" t="s">
        <v>15</v>
      </c>
      <c r="AE124" s="19" t="s">
        <v>15</v>
      </c>
      <c r="AF124" s="19" t="s">
        <v>15</v>
      </c>
      <c r="AG124" s="19" t="s">
        <v>15</v>
      </c>
      <c r="AH124" s="91" t="s">
        <v>15</v>
      </c>
      <c r="AI124" s="19" t="s">
        <v>15</v>
      </c>
      <c r="AJ124" s="19" t="s">
        <v>15</v>
      </c>
      <c r="AK124" s="19" t="s">
        <v>15</v>
      </c>
      <c r="AL124" s="19" t="s">
        <v>15</v>
      </c>
      <c r="AM124" s="19" t="s">
        <v>15</v>
      </c>
      <c r="AN124" s="19" t="s">
        <v>15</v>
      </c>
      <c r="AO124" s="19" t="s">
        <v>15</v>
      </c>
      <c r="AP124" s="19" t="s">
        <v>15</v>
      </c>
      <c r="AQ124" s="19" t="s">
        <v>15</v>
      </c>
      <c r="AR124" s="19" t="s">
        <v>16</v>
      </c>
      <c r="AS124" s="19" t="s">
        <v>15</v>
      </c>
      <c r="AT124" s="28" t="s">
        <v>15</v>
      </c>
    </row>
    <row r="125" spans="1:46" ht="12.75" customHeight="1" x14ac:dyDescent="0.3">
      <c r="A125" s="132"/>
      <c r="B125" s="108"/>
      <c r="C125" s="108"/>
      <c r="D125" s="100"/>
      <c r="E125" s="100"/>
      <c r="F125" s="100"/>
      <c r="G125" s="127"/>
      <c r="H125" s="127"/>
      <c r="I125" s="124"/>
      <c r="J125" s="27">
        <v>4</v>
      </c>
      <c r="K125" s="19">
        <v>3</v>
      </c>
      <c r="L125" s="19">
        <v>3</v>
      </c>
      <c r="M125" s="19">
        <v>4</v>
      </c>
      <c r="N125" s="19">
        <v>4</v>
      </c>
      <c r="O125" s="19">
        <v>3</v>
      </c>
      <c r="P125" s="19">
        <v>3</v>
      </c>
      <c r="Q125" s="19">
        <v>4</v>
      </c>
      <c r="R125" s="19">
        <v>4</v>
      </c>
      <c r="S125" s="19">
        <v>3</v>
      </c>
      <c r="T125" s="19">
        <v>3</v>
      </c>
      <c r="U125" s="19">
        <v>3</v>
      </c>
      <c r="V125" s="19">
        <v>3</v>
      </c>
      <c r="W125" s="19">
        <v>3</v>
      </c>
      <c r="X125" s="19">
        <v>2</v>
      </c>
      <c r="Y125" s="19">
        <v>3</v>
      </c>
      <c r="Z125" s="19">
        <v>3</v>
      </c>
      <c r="AA125" s="19">
        <v>3</v>
      </c>
      <c r="AB125" s="19">
        <v>3</v>
      </c>
      <c r="AC125" s="19">
        <v>3</v>
      </c>
      <c r="AD125" s="19">
        <v>3</v>
      </c>
      <c r="AE125" s="19">
        <v>2</v>
      </c>
      <c r="AF125" s="19">
        <v>3</v>
      </c>
      <c r="AG125" s="19">
        <v>4</v>
      </c>
      <c r="AH125" s="91">
        <v>3</v>
      </c>
      <c r="AI125" s="19">
        <v>3</v>
      </c>
      <c r="AJ125" s="19">
        <v>2</v>
      </c>
      <c r="AK125" s="19">
        <v>3</v>
      </c>
      <c r="AL125" s="19">
        <v>3</v>
      </c>
      <c r="AM125" s="19">
        <v>3</v>
      </c>
      <c r="AN125" s="19">
        <v>4</v>
      </c>
      <c r="AO125" s="19">
        <v>4</v>
      </c>
      <c r="AP125" s="19">
        <v>3</v>
      </c>
      <c r="AQ125" s="19">
        <v>3</v>
      </c>
      <c r="AR125" s="19">
        <v>4</v>
      </c>
      <c r="AS125" s="19">
        <v>5</v>
      </c>
      <c r="AT125" s="28">
        <v>2</v>
      </c>
    </row>
    <row r="126" spans="1:46" ht="12.75" customHeight="1" x14ac:dyDescent="0.3">
      <c r="A126" s="132"/>
      <c r="B126" s="116">
        <v>46200</v>
      </c>
      <c r="C126" s="107">
        <v>0.83333333333333337</v>
      </c>
      <c r="D126" s="99" t="s">
        <v>93</v>
      </c>
      <c r="E126" s="125" t="s">
        <v>68</v>
      </c>
      <c r="F126" s="125" t="s">
        <v>26</v>
      </c>
      <c r="G126" s="126"/>
      <c r="H126" s="126"/>
      <c r="I126" s="123" t="str">
        <f t="shared" ref="I126" si="33">IF(G126="","-",IF(G126&gt;H126,"L",IF(G126=H126,"E",IF(G126&lt;H126,"V"))))</f>
        <v>-</v>
      </c>
      <c r="J126" s="26" t="s">
        <v>16</v>
      </c>
      <c r="K126" s="13" t="s">
        <v>16</v>
      </c>
      <c r="L126" s="13" t="s">
        <v>16</v>
      </c>
      <c r="M126" s="13" t="s">
        <v>15</v>
      </c>
      <c r="N126" s="13" t="s">
        <v>16</v>
      </c>
      <c r="O126" s="13" t="s">
        <v>15</v>
      </c>
      <c r="P126" s="13" t="s">
        <v>7</v>
      </c>
      <c r="Q126" s="13" t="s">
        <v>16</v>
      </c>
      <c r="R126" s="13" t="s">
        <v>15</v>
      </c>
      <c r="S126" s="13" t="s">
        <v>16</v>
      </c>
      <c r="T126" s="13" t="s">
        <v>15</v>
      </c>
      <c r="U126" s="13" t="s">
        <v>16</v>
      </c>
      <c r="V126" s="13" t="s">
        <v>16</v>
      </c>
      <c r="W126" s="13" t="s">
        <v>15</v>
      </c>
      <c r="X126" s="13" t="s">
        <v>16</v>
      </c>
      <c r="Y126" s="13" t="s">
        <v>15</v>
      </c>
      <c r="Z126" s="13" t="s">
        <v>7</v>
      </c>
      <c r="AA126" s="13" t="s">
        <v>16</v>
      </c>
      <c r="AB126" s="13" t="s">
        <v>16</v>
      </c>
      <c r="AC126" s="13" t="s">
        <v>15</v>
      </c>
      <c r="AD126" s="13" t="s">
        <v>16</v>
      </c>
      <c r="AE126" s="13" t="s">
        <v>15</v>
      </c>
      <c r="AF126" s="13" t="s">
        <v>15</v>
      </c>
      <c r="AG126" s="13" t="s">
        <v>16</v>
      </c>
      <c r="AH126" s="89" t="s">
        <v>16</v>
      </c>
      <c r="AI126" s="13" t="s">
        <v>16</v>
      </c>
      <c r="AJ126" s="13" t="s">
        <v>15</v>
      </c>
      <c r="AK126" s="13" t="s">
        <v>16</v>
      </c>
      <c r="AL126" s="13" t="s">
        <v>16</v>
      </c>
      <c r="AM126" s="13" t="s">
        <v>15</v>
      </c>
      <c r="AN126" s="13" t="s">
        <v>16</v>
      </c>
      <c r="AO126" s="13" t="s">
        <v>16</v>
      </c>
      <c r="AP126" s="13" t="s">
        <v>15</v>
      </c>
      <c r="AQ126" s="13" t="s">
        <v>16</v>
      </c>
      <c r="AR126" s="13" t="s">
        <v>7</v>
      </c>
      <c r="AS126" s="13" t="s">
        <v>7</v>
      </c>
      <c r="AT126" s="25" t="s">
        <v>15</v>
      </c>
    </row>
    <row r="127" spans="1:46" ht="12.75" customHeight="1" x14ac:dyDescent="0.3">
      <c r="A127" s="133"/>
      <c r="B127" s="108"/>
      <c r="C127" s="108"/>
      <c r="D127" s="100"/>
      <c r="E127" s="100"/>
      <c r="F127" s="100"/>
      <c r="G127" s="127"/>
      <c r="H127" s="127"/>
      <c r="I127" s="124"/>
      <c r="J127" s="92">
        <v>2</v>
      </c>
      <c r="K127" s="14">
        <v>2</v>
      </c>
      <c r="L127" s="14">
        <v>2</v>
      </c>
      <c r="M127" s="14">
        <v>2</v>
      </c>
      <c r="N127" s="14">
        <v>2</v>
      </c>
      <c r="O127" s="14">
        <v>3</v>
      </c>
      <c r="P127" s="14">
        <v>3</v>
      </c>
      <c r="Q127" s="14">
        <v>2</v>
      </c>
      <c r="R127" s="14">
        <v>3</v>
      </c>
      <c r="S127" s="14">
        <v>2</v>
      </c>
      <c r="T127" s="14">
        <v>2</v>
      </c>
      <c r="U127" s="14">
        <v>2</v>
      </c>
      <c r="V127" s="14">
        <v>2</v>
      </c>
      <c r="W127" s="14">
        <v>3</v>
      </c>
      <c r="X127" s="14">
        <v>2</v>
      </c>
      <c r="Y127" s="14">
        <v>2</v>
      </c>
      <c r="Z127" s="14">
        <v>2</v>
      </c>
      <c r="AA127" s="14">
        <v>2</v>
      </c>
      <c r="AB127" s="14">
        <v>2</v>
      </c>
      <c r="AC127" s="14">
        <v>1</v>
      </c>
      <c r="AD127" s="14">
        <v>2</v>
      </c>
      <c r="AE127" s="14">
        <v>1</v>
      </c>
      <c r="AF127" s="14">
        <v>1</v>
      </c>
      <c r="AG127" s="14">
        <v>2</v>
      </c>
      <c r="AH127" s="93">
        <v>2</v>
      </c>
      <c r="AI127" s="14">
        <v>2</v>
      </c>
      <c r="AJ127" s="14">
        <v>1</v>
      </c>
      <c r="AK127" s="14">
        <v>2</v>
      </c>
      <c r="AL127" s="14">
        <v>2</v>
      </c>
      <c r="AM127" s="14">
        <v>3</v>
      </c>
      <c r="AN127" s="14">
        <v>2</v>
      </c>
      <c r="AO127" s="14">
        <v>4</v>
      </c>
      <c r="AP127" s="14">
        <v>3</v>
      </c>
      <c r="AQ127" s="14">
        <v>2</v>
      </c>
      <c r="AR127" s="14">
        <v>2</v>
      </c>
      <c r="AS127" s="14">
        <v>2</v>
      </c>
      <c r="AT127" s="29">
        <v>1</v>
      </c>
    </row>
    <row r="128" spans="1:46" ht="12.75" customHeight="1" x14ac:dyDescent="0.3">
      <c r="A128" s="120" t="s">
        <v>52</v>
      </c>
      <c r="B128" s="117">
        <v>46190</v>
      </c>
      <c r="C128" s="105">
        <v>0.45833333333333331</v>
      </c>
      <c r="D128" s="97" t="s">
        <v>87</v>
      </c>
      <c r="E128" s="130" t="s">
        <v>17</v>
      </c>
      <c r="F128" s="130" t="s">
        <v>71</v>
      </c>
      <c r="G128" s="128">
        <v>1</v>
      </c>
      <c r="H128" s="128">
        <v>1</v>
      </c>
      <c r="I128" s="134" t="str">
        <f>IF(G128="","-",IF(G128&gt;H128,"L",IF(G128=H128,"E",IF(G128&lt;H128,"V"))))</f>
        <v>E</v>
      </c>
      <c r="J128" s="23" t="s">
        <v>7</v>
      </c>
      <c r="K128" s="18" t="s">
        <v>7</v>
      </c>
      <c r="L128" s="18" t="s">
        <v>7</v>
      </c>
      <c r="M128" s="18" t="s">
        <v>7</v>
      </c>
      <c r="N128" s="18" t="s">
        <v>7</v>
      </c>
      <c r="O128" s="18" t="s">
        <v>7</v>
      </c>
      <c r="P128" s="18" t="s">
        <v>7</v>
      </c>
      <c r="Q128" s="18" t="s">
        <v>7</v>
      </c>
      <c r="R128" s="18" t="s">
        <v>7</v>
      </c>
      <c r="S128" s="18" t="s">
        <v>7</v>
      </c>
      <c r="T128" s="18" t="s">
        <v>7</v>
      </c>
      <c r="U128" s="18" t="s">
        <v>7</v>
      </c>
      <c r="V128" s="18" t="s">
        <v>7</v>
      </c>
      <c r="W128" s="18" t="s">
        <v>7</v>
      </c>
      <c r="X128" s="18" t="s">
        <v>7</v>
      </c>
      <c r="Y128" s="18" t="s">
        <v>7</v>
      </c>
      <c r="Z128" s="18" t="s">
        <v>7</v>
      </c>
      <c r="AA128" s="18" t="s">
        <v>7</v>
      </c>
      <c r="AB128" s="18" t="s">
        <v>7</v>
      </c>
      <c r="AC128" s="18" t="s">
        <v>7</v>
      </c>
      <c r="AD128" s="18" t="s">
        <v>7</v>
      </c>
      <c r="AE128" s="18" t="s">
        <v>7</v>
      </c>
      <c r="AF128" s="18" t="s">
        <v>7</v>
      </c>
      <c r="AG128" s="18" t="s">
        <v>7</v>
      </c>
      <c r="AH128" s="87" t="s">
        <v>7</v>
      </c>
      <c r="AI128" s="18" t="s">
        <v>7</v>
      </c>
      <c r="AJ128" s="18" t="s">
        <v>7</v>
      </c>
      <c r="AK128" s="18" t="s">
        <v>7</v>
      </c>
      <c r="AL128" s="18" t="s">
        <v>7</v>
      </c>
      <c r="AM128" s="18" t="s">
        <v>7</v>
      </c>
      <c r="AN128" s="18" t="s">
        <v>7</v>
      </c>
      <c r="AO128" s="18" t="s">
        <v>7</v>
      </c>
      <c r="AP128" s="18" t="s">
        <v>7</v>
      </c>
      <c r="AQ128" s="18" t="s">
        <v>7</v>
      </c>
      <c r="AR128" s="18" t="s">
        <v>7</v>
      </c>
      <c r="AS128" s="18" t="s">
        <v>7</v>
      </c>
      <c r="AT128" s="24" t="s">
        <v>7</v>
      </c>
    </row>
    <row r="129" spans="1:46" ht="12.75" customHeight="1" x14ac:dyDescent="0.3">
      <c r="A129" s="121"/>
      <c r="B129" s="106"/>
      <c r="C129" s="106"/>
      <c r="D129" s="98"/>
      <c r="E129" s="98"/>
      <c r="F129" s="98"/>
      <c r="G129" s="129"/>
      <c r="H129" s="129"/>
      <c r="I129" s="135"/>
      <c r="J129" s="23">
        <v>3</v>
      </c>
      <c r="K129" s="18">
        <v>3</v>
      </c>
      <c r="L129" s="18">
        <v>3</v>
      </c>
      <c r="M129" s="18">
        <v>2</v>
      </c>
      <c r="N129" s="18">
        <v>2</v>
      </c>
      <c r="O129" s="18">
        <v>3</v>
      </c>
      <c r="P129" s="18">
        <v>4</v>
      </c>
      <c r="Q129" s="18">
        <v>2</v>
      </c>
      <c r="R129" s="18">
        <v>3</v>
      </c>
      <c r="S129" s="18">
        <v>3</v>
      </c>
      <c r="T129" s="18">
        <v>3</v>
      </c>
      <c r="U129" s="18">
        <v>3</v>
      </c>
      <c r="V129" s="18">
        <v>2</v>
      </c>
      <c r="W129" s="18">
        <v>3</v>
      </c>
      <c r="X129" s="18">
        <v>3</v>
      </c>
      <c r="Y129" s="18">
        <v>3</v>
      </c>
      <c r="Z129" s="18">
        <v>4</v>
      </c>
      <c r="AA129" s="18">
        <v>3</v>
      </c>
      <c r="AB129" s="18">
        <v>3</v>
      </c>
      <c r="AC129" s="18">
        <v>4</v>
      </c>
      <c r="AD129" s="18">
        <v>3</v>
      </c>
      <c r="AE129" s="18">
        <v>5</v>
      </c>
      <c r="AF129" s="18">
        <v>3</v>
      </c>
      <c r="AG129" s="18">
        <v>3</v>
      </c>
      <c r="AH129" s="87">
        <v>3</v>
      </c>
      <c r="AI129" s="18">
        <v>3</v>
      </c>
      <c r="AJ129" s="18">
        <v>4</v>
      </c>
      <c r="AK129" s="18">
        <v>4</v>
      </c>
      <c r="AL129" s="18">
        <v>3</v>
      </c>
      <c r="AM129" s="18">
        <v>3</v>
      </c>
      <c r="AN129" s="18">
        <v>5</v>
      </c>
      <c r="AO129" s="18">
        <v>4</v>
      </c>
      <c r="AP129" s="18">
        <v>2</v>
      </c>
      <c r="AQ129" s="18">
        <v>2</v>
      </c>
      <c r="AR129" s="18">
        <v>3</v>
      </c>
      <c r="AS129" s="18">
        <v>6</v>
      </c>
      <c r="AT129" s="24">
        <v>2</v>
      </c>
    </row>
    <row r="130" spans="1:46" ht="12.75" customHeight="1" x14ac:dyDescent="0.3">
      <c r="A130" s="121"/>
      <c r="B130" s="117">
        <v>46190</v>
      </c>
      <c r="C130" s="105">
        <v>0.83333333333333337</v>
      </c>
      <c r="D130" s="97" t="s">
        <v>89</v>
      </c>
      <c r="E130" s="130" t="s">
        <v>69</v>
      </c>
      <c r="F130" s="130" t="s">
        <v>70</v>
      </c>
      <c r="G130" s="128">
        <v>1</v>
      </c>
      <c r="H130" s="128">
        <v>3</v>
      </c>
      <c r="I130" s="134" t="str">
        <f t="shared" ref="I130" si="34">IF(G130="","-",IF(G130&gt;H130,"L",IF(G130=H130,"E",IF(G130&lt;H130,"V"))))</f>
        <v>V</v>
      </c>
      <c r="J130" s="26" t="s">
        <v>15</v>
      </c>
      <c r="K130" s="13" t="s">
        <v>15</v>
      </c>
      <c r="L130" s="13" t="s">
        <v>15</v>
      </c>
      <c r="M130" s="13" t="s">
        <v>15</v>
      </c>
      <c r="N130" s="13" t="s">
        <v>15</v>
      </c>
      <c r="O130" s="13" t="s">
        <v>15</v>
      </c>
      <c r="P130" s="13" t="s">
        <v>15</v>
      </c>
      <c r="Q130" s="13" t="s">
        <v>15</v>
      </c>
      <c r="R130" s="13" t="s">
        <v>15</v>
      </c>
      <c r="S130" s="13" t="s">
        <v>15</v>
      </c>
      <c r="T130" s="13" t="s">
        <v>15</v>
      </c>
      <c r="U130" s="13" t="s">
        <v>15</v>
      </c>
      <c r="V130" s="13" t="s">
        <v>15</v>
      </c>
      <c r="W130" s="13" t="s">
        <v>15</v>
      </c>
      <c r="X130" s="13" t="s">
        <v>15</v>
      </c>
      <c r="Y130" s="13" t="s">
        <v>15</v>
      </c>
      <c r="Z130" s="13" t="s">
        <v>15</v>
      </c>
      <c r="AA130" s="13" t="s">
        <v>15</v>
      </c>
      <c r="AB130" s="13" t="s">
        <v>15</v>
      </c>
      <c r="AC130" s="13" t="s">
        <v>15</v>
      </c>
      <c r="AD130" s="13" t="s">
        <v>15</v>
      </c>
      <c r="AE130" s="13" t="s">
        <v>15</v>
      </c>
      <c r="AF130" s="13" t="s">
        <v>15</v>
      </c>
      <c r="AG130" s="13" t="s">
        <v>15</v>
      </c>
      <c r="AH130" s="89" t="s">
        <v>15</v>
      </c>
      <c r="AI130" s="13" t="s">
        <v>15</v>
      </c>
      <c r="AJ130" s="13" t="s">
        <v>15</v>
      </c>
      <c r="AK130" s="13" t="s">
        <v>15</v>
      </c>
      <c r="AL130" s="13" t="s">
        <v>15</v>
      </c>
      <c r="AM130" s="13" t="s">
        <v>15</v>
      </c>
      <c r="AN130" s="13" t="s">
        <v>15</v>
      </c>
      <c r="AO130" s="13" t="s">
        <v>15</v>
      </c>
      <c r="AP130" s="13" t="s">
        <v>15</v>
      </c>
      <c r="AQ130" s="13" t="s">
        <v>15</v>
      </c>
      <c r="AR130" s="13" t="s">
        <v>15</v>
      </c>
      <c r="AS130" s="13" t="s">
        <v>15</v>
      </c>
      <c r="AT130" s="25" t="s">
        <v>15</v>
      </c>
    </row>
    <row r="131" spans="1:46" ht="12.75" customHeight="1" x14ac:dyDescent="0.3">
      <c r="A131" s="121"/>
      <c r="B131" s="106"/>
      <c r="C131" s="106"/>
      <c r="D131" s="98"/>
      <c r="E131" s="98"/>
      <c r="F131" s="98"/>
      <c r="G131" s="129"/>
      <c r="H131" s="129"/>
      <c r="I131" s="135"/>
      <c r="J131" s="26">
        <v>2</v>
      </c>
      <c r="K131" s="13">
        <v>2</v>
      </c>
      <c r="L131" s="13">
        <v>3</v>
      </c>
      <c r="M131" s="13">
        <v>1</v>
      </c>
      <c r="N131" s="13">
        <v>3</v>
      </c>
      <c r="O131" s="13">
        <v>4</v>
      </c>
      <c r="P131" s="13">
        <v>2</v>
      </c>
      <c r="Q131" s="13">
        <v>3</v>
      </c>
      <c r="R131" s="13">
        <v>4</v>
      </c>
      <c r="S131" s="13">
        <v>3</v>
      </c>
      <c r="T131" s="13">
        <v>2</v>
      </c>
      <c r="U131" s="13">
        <v>2</v>
      </c>
      <c r="V131" s="13">
        <v>1</v>
      </c>
      <c r="W131" s="13">
        <v>4</v>
      </c>
      <c r="X131" s="13">
        <v>3</v>
      </c>
      <c r="Y131" s="13">
        <v>2</v>
      </c>
      <c r="Z131" s="13">
        <v>3</v>
      </c>
      <c r="AA131" s="13">
        <v>3</v>
      </c>
      <c r="AB131" s="13">
        <v>4</v>
      </c>
      <c r="AC131" s="13">
        <v>2</v>
      </c>
      <c r="AD131" s="13">
        <v>2</v>
      </c>
      <c r="AE131" s="13">
        <v>4</v>
      </c>
      <c r="AF131" s="13">
        <v>2</v>
      </c>
      <c r="AG131" s="13">
        <v>3</v>
      </c>
      <c r="AH131" s="89">
        <v>2</v>
      </c>
      <c r="AI131" s="13">
        <v>3</v>
      </c>
      <c r="AJ131" s="13">
        <v>3</v>
      </c>
      <c r="AK131" s="13">
        <v>3</v>
      </c>
      <c r="AL131" s="13">
        <v>4</v>
      </c>
      <c r="AM131" s="13">
        <v>2</v>
      </c>
      <c r="AN131" s="13">
        <v>3</v>
      </c>
      <c r="AO131" s="13">
        <v>3</v>
      </c>
      <c r="AP131" s="13">
        <v>2</v>
      </c>
      <c r="AQ131" s="13">
        <v>3</v>
      </c>
      <c r="AR131" s="13">
        <v>2</v>
      </c>
      <c r="AS131" s="13">
        <v>3</v>
      </c>
      <c r="AT131" s="25">
        <v>1</v>
      </c>
    </row>
    <row r="132" spans="1:46" ht="12.75" customHeight="1" x14ac:dyDescent="0.3">
      <c r="A132" s="121"/>
      <c r="B132" s="117">
        <v>46196</v>
      </c>
      <c r="C132" s="105">
        <v>0.45833333333333331</v>
      </c>
      <c r="D132" s="97" t="s">
        <v>87</v>
      </c>
      <c r="E132" s="130" t="s">
        <v>17</v>
      </c>
      <c r="F132" s="130" t="s">
        <v>69</v>
      </c>
      <c r="G132" s="128"/>
      <c r="H132" s="128"/>
      <c r="I132" s="134" t="str">
        <f t="shared" ref="I132" si="35">IF(G132="","-",IF(G132&gt;H132,"L",IF(G132=H132,"E",IF(G132&lt;H132,"V"))))</f>
        <v>-</v>
      </c>
      <c r="J132" s="23" t="s">
        <v>7</v>
      </c>
      <c r="K132" s="18" t="s">
        <v>7</v>
      </c>
      <c r="L132" s="18" t="s">
        <v>7</v>
      </c>
      <c r="M132" s="18" t="s">
        <v>7</v>
      </c>
      <c r="N132" s="18" t="s">
        <v>7</v>
      </c>
      <c r="O132" s="18" t="s">
        <v>7</v>
      </c>
      <c r="P132" s="18" t="s">
        <v>7</v>
      </c>
      <c r="Q132" s="18" t="s">
        <v>7</v>
      </c>
      <c r="R132" s="18" t="s">
        <v>7</v>
      </c>
      <c r="S132" s="18" t="s">
        <v>7</v>
      </c>
      <c r="T132" s="18" t="s">
        <v>7</v>
      </c>
      <c r="U132" s="18" t="s">
        <v>7</v>
      </c>
      <c r="V132" s="18" t="s">
        <v>7</v>
      </c>
      <c r="W132" s="18" t="s">
        <v>7</v>
      </c>
      <c r="X132" s="18" t="s">
        <v>7</v>
      </c>
      <c r="Y132" s="18" t="s">
        <v>7</v>
      </c>
      <c r="Z132" s="18" t="s">
        <v>7</v>
      </c>
      <c r="AA132" s="18" t="s">
        <v>7</v>
      </c>
      <c r="AB132" s="18" t="s">
        <v>7</v>
      </c>
      <c r="AC132" s="18" t="s">
        <v>7</v>
      </c>
      <c r="AD132" s="18" t="s">
        <v>7</v>
      </c>
      <c r="AE132" s="18" t="s">
        <v>7</v>
      </c>
      <c r="AF132" s="18" t="s">
        <v>7</v>
      </c>
      <c r="AG132" s="18" t="s">
        <v>7</v>
      </c>
      <c r="AH132" s="87" t="s">
        <v>7</v>
      </c>
      <c r="AI132" s="18" t="s">
        <v>7</v>
      </c>
      <c r="AJ132" s="18" t="s">
        <v>7</v>
      </c>
      <c r="AK132" s="18" t="s">
        <v>7</v>
      </c>
      <c r="AL132" s="18" t="s">
        <v>7</v>
      </c>
      <c r="AM132" s="18" t="s">
        <v>7</v>
      </c>
      <c r="AN132" s="18" t="s">
        <v>7</v>
      </c>
      <c r="AO132" s="18" t="s">
        <v>7</v>
      </c>
      <c r="AP132" s="18" t="s">
        <v>7</v>
      </c>
      <c r="AQ132" s="18" t="s">
        <v>7</v>
      </c>
      <c r="AR132" s="18" t="s">
        <v>7</v>
      </c>
      <c r="AS132" s="18" t="s">
        <v>7</v>
      </c>
      <c r="AT132" s="24" t="s">
        <v>7</v>
      </c>
    </row>
    <row r="133" spans="1:46" ht="12.75" customHeight="1" x14ac:dyDescent="0.3">
      <c r="A133" s="121"/>
      <c r="B133" s="106"/>
      <c r="C133" s="106"/>
      <c r="D133" s="98"/>
      <c r="E133" s="98"/>
      <c r="F133" s="98"/>
      <c r="G133" s="129"/>
      <c r="H133" s="129"/>
      <c r="I133" s="135"/>
      <c r="J133" s="23">
        <v>3</v>
      </c>
      <c r="K133" s="18">
        <v>4</v>
      </c>
      <c r="L133" s="18">
        <v>2</v>
      </c>
      <c r="M133" s="18">
        <v>4</v>
      </c>
      <c r="N133" s="18">
        <v>1</v>
      </c>
      <c r="O133" s="18">
        <v>2</v>
      </c>
      <c r="P133" s="18">
        <v>4</v>
      </c>
      <c r="Q133" s="18">
        <v>4</v>
      </c>
      <c r="R133" s="18">
        <v>3</v>
      </c>
      <c r="S133" s="18">
        <v>4</v>
      </c>
      <c r="T133" s="18">
        <v>3</v>
      </c>
      <c r="U133" s="18">
        <v>3</v>
      </c>
      <c r="V133" s="18">
        <v>3</v>
      </c>
      <c r="W133" s="18">
        <v>4</v>
      </c>
      <c r="X133" s="18">
        <v>2</v>
      </c>
      <c r="Y133" s="18">
        <v>3</v>
      </c>
      <c r="Z133" s="18">
        <v>4</v>
      </c>
      <c r="AA133" s="18">
        <v>3</v>
      </c>
      <c r="AB133" s="18">
        <v>2</v>
      </c>
      <c r="AC133" s="18">
        <v>3</v>
      </c>
      <c r="AD133" s="18">
        <v>2</v>
      </c>
      <c r="AE133" s="18">
        <v>3</v>
      </c>
      <c r="AF133" s="18">
        <v>3</v>
      </c>
      <c r="AG133" s="18">
        <v>2</v>
      </c>
      <c r="AH133" s="87">
        <v>3</v>
      </c>
      <c r="AI133" s="18">
        <v>4</v>
      </c>
      <c r="AJ133" s="18">
        <v>3</v>
      </c>
      <c r="AK133" s="18">
        <v>3</v>
      </c>
      <c r="AL133" s="18">
        <v>2</v>
      </c>
      <c r="AM133" s="18">
        <v>3</v>
      </c>
      <c r="AN133" s="18">
        <v>5</v>
      </c>
      <c r="AO133" s="18">
        <v>3</v>
      </c>
      <c r="AP133" s="18">
        <v>5</v>
      </c>
      <c r="AQ133" s="18">
        <v>2</v>
      </c>
      <c r="AR133" s="18">
        <v>4</v>
      </c>
      <c r="AS133" s="18">
        <v>4</v>
      </c>
      <c r="AT133" s="24">
        <v>2</v>
      </c>
    </row>
    <row r="134" spans="1:46" ht="12.75" customHeight="1" x14ac:dyDescent="0.3">
      <c r="A134" s="121"/>
      <c r="B134" s="117">
        <v>46196</v>
      </c>
      <c r="C134" s="105">
        <v>0.83333333333333337</v>
      </c>
      <c r="D134" s="97" t="s">
        <v>137</v>
      </c>
      <c r="E134" s="130" t="s">
        <v>70</v>
      </c>
      <c r="F134" s="130" t="s">
        <v>71</v>
      </c>
      <c r="G134" s="128"/>
      <c r="H134" s="128"/>
      <c r="I134" s="134" t="str">
        <f t="shared" ref="I134" si="36">IF(G134="","-",IF(G134&gt;H134,"L",IF(G134=H134,"E",IF(G134&lt;H134,"V"))))</f>
        <v>-</v>
      </c>
      <c r="J134" s="26" t="s">
        <v>7</v>
      </c>
      <c r="K134" s="13" t="s">
        <v>16</v>
      </c>
      <c r="L134" s="13" t="s">
        <v>7</v>
      </c>
      <c r="M134" s="13" t="s">
        <v>16</v>
      </c>
      <c r="N134" s="13" t="s">
        <v>7</v>
      </c>
      <c r="O134" s="13" t="s">
        <v>7</v>
      </c>
      <c r="P134" s="13" t="s">
        <v>7</v>
      </c>
      <c r="Q134" s="13" t="s">
        <v>7</v>
      </c>
      <c r="R134" s="13" t="s">
        <v>7</v>
      </c>
      <c r="S134" s="13" t="s">
        <v>7</v>
      </c>
      <c r="T134" s="13" t="s">
        <v>7</v>
      </c>
      <c r="U134" s="13" t="s">
        <v>7</v>
      </c>
      <c r="V134" s="13" t="s">
        <v>7</v>
      </c>
      <c r="W134" s="13" t="s">
        <v>7</v>
      </c>
      <c r="X134" s="13" t="s">
        <v>7</v>
      </c>
      <c r="Y134" s="13" t="s">
        <v>15</v>
      </c>
      <c r="Z134" s="13" t="s">
        <v>7</v>
      </c>
      <c r="AA134" s="13" t="s">
        <v>7</v>
      </c>
      <c r="AB134" s="13" t="s">
        <v>7</v>
      </c>
      <c r="AC134" s="13" t="s">
        <v>7</v>
      </c>
      <c r="AD134" s="13" t="s">
        <v>7</v>
      </c>
      <c r="AE134" s="13" t="s">
        <v>7</v>
      </c>
      <c r="AF134" s="13" t="s">
        <v>7</v>
      </c>
      <c r="AG134" s="13" t="s">
        <v>16</v>
      </c>
      <c r="AH134" s="89" t="s">
        <v>7</v>
      </c>
      <c r="AI134" s="13" t="s">
        <v>7</v>
      </c>
      <c r="AJ134" s="13" t="s">
        <v>7</v>
      </c>
      <c r="AK134" s="13" t="s">
        <v>7</v>
      </c>
      <c r="AL134" s="13" t="s">
        <v>7</v>
      </c>
      <c r="AM134" s="13" t="s">
        <v>7</v>
      </c>
      <c r="AN134" s="13" t="s">
        <v>7</v>
      </c>
      <c r="AO134" s="13" t="s">
        <v>7</v>
      </c>
      <c r="AP134" s="13" t="s">
        <v>7</v>
      </c>
      <c r="AQ134" s="13" t="s">
        <v>7</v>
      </c>
      <c r="AR134" s="13" t="s">
        <v>7</v>
      </c>
      <c r="AS134" s="13" t="s">
        <v>7</v>
      </c>
      <c r="AT134" s="25" t="s">
        <v>15</v>
      </c>
    </row>
    <row r="135" spans="1:46" ht="12.75" customHeight="1" x14ac:dyDescent="0.3">
      <c r="A135" s="121"/>
      <c r="B135" s="106"/>
      <c r="C135" s="106"/>
      <c r="D135" s="98"/>
      <c r="E135" s="98"/>
      <c r="F135" s="98"/>
      <c r="G135" s="129"/>
      <c r="H135" s="129"/>
      <c r="I135" s="135"/>
      <c r="J135" s="26">
        <v>2</v>
      </c>
      <c r="K135" s="13">
        <v>4</v>
      </c>
      <c r="L135" s="13">
        <v>2</v>
      </c>
      <c r="M135" s="13">
        <v>0</v>
      </c>
      <c r="N135" s="13">
        <v>2</v>
      </c>
      <c r="O135" s="13">
        <v>2</v>
      </c>
      <c r="P135" s="13">
        <v>3</v>
      </c>
      <c r="Q135" s="13">
        <v>3</v>
      </c>
      <c r="R135" s="13">
        <v>3</v>
      </c>
      <c r="S135" s="13">
        <v>3</v>
      </c>
      <c r="T135" s="13">
        <v>3</v>
      </c>
      <c r="U135" s="13">
        <v>2</v>
      </c>
      <c r="V135" s="13">
        <v>1</v>
      </c>
      <c r="W135" s="13">
        <v>3</v>
      </c>
      <c r="X135" s="13">
        <v>2</v>
      </c>
      <c r="Y135" s="13">
        <v>3</v>
      </c>
      <c r="Z135" s="13">
        <v>3</v>
      </c>
      <c r="AA135" s="13">
        <v>3</v>
      </c>
      <c r="AB135" s="13">
        <v>1</v>
      </c>
      <c r="AC135" s="13">
        <v>3</v>
      </c>
      <c r="AD135" s="13">
        <v>2</v>
      </c>
      <c r="AE135" s="13">
        <v>2</v>
      </c>
      <c r="AF135" s="13">
        <v>2</v>
      </c>
      <c r="AG135" s="13">
        <v>2</v>
      </c>
      <c r="AH135" s="89">
        <v>2</v>
      </c>
      <c r="AI135" s="13">
        <v>2</v>
      </c>
      <c r="AJ135" s="13">
        <v>2</v>
      </c>
      <c r="AK135" s="13">
        <v>3</v>
      </c>
      <c r="AL135" s="13">
        <v>1</v>
      </c>
      <c r="AM135" s="13">
        <v>4</v>
      </c>
      <c r="AN135" s="13">
        <v>3</v>
      </c>
      <c r="AO135" s="13">
        <v>3</v>
      </c>
      <c r="AP135" s="13">
        <v>4</v>
      </c>
      <c r="AQ135" s="13">
        <v>1</v>
      </c>
      <c r="AR135" s="13">
        <v>3</v>
      </c>
      <c r="AS135" s="13">
        <v>2</v>
      </c>
      <c r="AT135" s="25">
        <v>1</v>
      </c>
    </row>
    <row r="136" spans="1:46" ht="12.75" customHeight="1" x14ac:dyDescent="0.3">
      <c r="A136" s="121"/>
      <c r="B136" s="117">
        <v>46200</v>
      </c>
      <c r="C136" s="105">
        <v>0.72916666666666663</v>
      </c>
      <c r="D136" s="97" t="s">
        <v>91</v>
      </c>
      <c r="E136" s="130" t="s">
        <v>70</v>
      </c>
      <c r="F136" s="130" t="s">
        <v>17</v>
      </c>
      <c r="G136" s="128"/>
      <c r="H136" s="128"/>
      <c r="I136" s="134" t="str">
        <f t="shared" ref="I136" si="37">IF(G136="","-",IF(G136&gt;H136,"L",IF(G136=H136,"E",IF(G136&lt;H136,"V"))))</f>
        <v>-</v>
      </c>
      <c r="J136" s="23" t="s">
        <v>16</v>
      </c>
      <c r="K136" s="18" t="s">
        <v>16</v>
      </c>
      <c r="L136" s="18" t="s">
        <v>15</v>
      </c>
      <c r="M136" s="18" t="s">
        <v>15</v>
      </c>
      <c r="N136" s="18" t="s">
        <v>16</v>
      </c>
      <c r="O136" s="18" t="s">
        <v>16</v>
      </c>
      <c r="P136" s="18" t="s">
        <v>15</v>
      </c>
      <c r="Q136" s="18" t="s">
        <v>16</v>
      </c>
      <c r="R136" s="18" t="s">
        <v>16</v>
      </c>
      <c r="S136" s="18" t="s">
        <v>16</v>
      </c>
      <c r="T136" s="18" t="s">
        <v>15</v>
      </c>
      <c r="U136" s="18" t="s">
        <v>16</v>
      </c>
      <c r="V136" s="18" t="s">
        <v>16</v>
      </c>
      <c r="W136" s="18" t="s">
        <v>16</v>
      </c>
      <c r="X136" s="18" t="s">
        <v>16</v>
      </c>
      <c r="Y136" s="18" t="s">
        <v>15</v>
      </c>
      <c r="Z136" s="18" t="s">
        <v>16</v>
      </c>
      <c r="AA136" s="18" t="s">
        <v>16</v>
      </c>
      <c r="AB136" s="18" t="s">
        <v>16</v>
      </c>
      <c r="AC136" s="18" t="s">
        <v>15</v>
      </c>
      <c r="AD136" s="18" t="s">
        <v>15</v>
      </c>
      <c r="AE136" s="18" t="s">
        <v>16</v>
      </c>
      <c r="AF136" s="18" t="s">
        <v>15</v>
      </c>
      <c r="AG136" s="18" t="s">
        <v>15</v>
      </c>
      <c r="AH136" s="87" t="s">
        <v>16</v>
      </c>
      <c r="AI136" s="18" t="s">
        <v>7</v>
      </c>
      <c r="AJ136" s="18" t="s">
        <v>15</v>
      </c>
      <c r="AK136" s="18" t="s">
        <v>16</v>
      </c>
      <c r="AL136" s="18" t="s">
        <v>16</v>
      </c>
      <c r="AM136" s="18" t="s">
        <v>16</v>
      </c>
      <c r="AN136" s="18" t="s">
        <v>15</v>
      </c>
      <c r="AO136" s="18" t="s">
        <v>15</v>
      </c>
      <c r="AP136" s="18" t="s">
        <v>16</v>
      </c>
      <c r="AQ136" s="18" t="s">
        <v>15</v>
      </c>
      <c r="AR136" s="18" t="s">
        <v>15</v>
      </c>
      <c r="AS136" s="18" t="s">
        <v>15</v>
      </c>
      <c r="AT136" s="24" t="s">
        <v>15</v>
      </c>
    </row>
    <row r="137" spans="1:46" ht="12.75" customHeight="1" x14ac:dyDescent="0.3">
      <c r="A137" s="121"/>
      <c r="B137" s="106"/>
      <c r="C137" s="106"/>
      <c r="D137" s="98"/>
      <c r="E137" s="98"/>
      <c r="F137" s="98"/>
      <c r="G137" s="129"/>
      <c r="H137" s="129"/>
      <c r="I137" s="135"/>
      <c r="J137" s="23">
        <v>4</v>
      </c>
      <c r="K137" s="18">
        <v>4</v>
      </c>
      <c r="L137" s="18">
        <v>2</v>
      </c>
      <c r="M137" s="18">
        <v>3</v>
      </c>
      <c r="N137" s="18">
        <v>2</v>
      </c>
      <c r="O137" s="18">
        <v>4</v>
      </c>
      <c r="P137" s="18">
        <v>3</v>
      </c>
      <c r="Q137" s="18">
        <v>2</v>
      </c>
      <c r="R137" s="18">
        <v>4</v>
      </c>
      <c r="S137" s="18">
        <v>4</v>
      </c>
      <c r="T137" s="18">
        <v>3</v>
      </c>
      <c r="U137" s="18">
        <v>2</v>
      </c>
      <c r="V137" s="18">
        <v>4</v>
      </c>
      <c r="W137" s="18">
        <v>4</v>
      </c>
      <c r="X137" s="18">
        <v>2</v>
      </c>
      <c r="Y137" s="18">
        <v>3</v>
      </c>
      <c r="Z137" s="18">
        <v>4</v>
      </c>
      <c r="AA137" s="18">
        <v>4</v>
      </c>
      <c r="AB137" s="18">
        <v>2</v>
      </c>
      <c r="AC137" s="18">
        <v>3</v>
      </c>
      <c r="AD137" s="18">
        <v>3</v>
      </c>
      <c r="AE137" s="18">
        <v>4</v>
      </c>
      <c r="AF137" s="18">
        <v>2</v>
      </c>
      <c r="AG137" s="18">
        <v>4</v>
      </c>
      <c r="AH137" s="87">
        <v>2</v>
      </c>
      <c r="AI137" s="18">
        <v>3</v>
      </c>
      <c r="AJ137" s="18">
        <v>3</v>
      </c>
      <c r="AK137" s="18">
        <v>2</v>
      </c>
      <c r="AL137" s="18">
        <v>2</v>
      </c>
      <c r="AM137" s="18">
        <v>2</v>
      </c>
      <c r="AN137" s="18">
        <v>5</v>
      </c>
      <c r="AO137" s="18">
        <v>3</v>
      </c>
      <c r="AP137" s="18">
        <v>4</v>
      </c>
      <c r="AQ137" s="18">
        <v>3</v>
      </c>
      <c r="AR137" s="18">
        <v>1</v>
      </c>
      <c r="AS137" s="18">
        <v>3</v>
      </c>
      <c r="AT137" s="24">
        <v>3</v>
      </c>
    </row>
    <row r="138" spans="1:46" ht="12.75" customHeight="1" x14ac:dyDescent="0.3">
      <c r="A138" s="121"/>
      <c r="B138" s="117">
        <v>46200</v>
      </c>
      <c r="C138" s="105">
        <v>0.72916666666666663</v>
      </c>
      <c r="D138" s="97" t="s">
        <v>90</v>
      </c>
      <c r="E138" s="130" t="s">
        <v>71</v>
      </c>
      <c r="F138" s="130" t="s">
        <v>69</v>
      </c>
      <c r="G138" s="128"/>
      <c r="H138" s="128"/>
      <c r="I138" s="134" t="str">
        <f t="shared" ref="I138" si="38">IF(G138="","-",IF(G138&gt;H138,"L",IF(G138=H138,"E",IF(G138&lt;H138,"V"))))</f>
        <v>-</v>
      </c>
      <c r="J138" s="26" t="s">
        <v>16</v>
      </c>
      <c r="K138" s="13" t="s">
        <v>7</v>
      </c>
      <c r="L138" s="13" t="s">
        <v>7</v>
      </c>
      <c r="M138" s="13" t="s">
        <v>15</v>
      </c>
      <c r="N138" s="13" t="s">
        <v>7</v>
      </c>
      <c r="O138" s="13" t="s">
        <v>16</v>
      </c>
      <c r="P138" s="13" t="s">
        <v>15</v>
      </c>
      <c r="Q138" s="13" t="s">
        <v>7</v>
      </c>
      <c r="R138" s="13" t="s">
        <v>7</v>
      </c>
      <c r="S138" s="13" t="s">
        <v>7</v>
      </c>
      <c r="T138" s="13" t="s">
        <v>16</v>
      </c>
      <c r="U138" s="13" t="s">
        <v>16</v>
      </c>
      <c r="V138" s="13" t="s">
        <v>15</v>
      </c>
      <c r="W138" s="13" t="s">
        <v>7</v>
      </c>
      <c r="X138" s="13" t="s">
        <v>15</v>
      </c>
      <c r="Y138" s="13" t="s">
        <v>7</v>
      </c>
      <c r="Z138" s="13" t="s">
        <v>16</v>
      </c>
      <c r="AA138" s="13" t="s">
        <v>15</v>
      </c>
      <c r="AB138" s="13" t="s">
        <v>16</v>
      </c>
      <c r="AC138" s="13" t="s">
        <v>7</v>
      </c>
      <c r="AD138" s="13" t="s">
        <v>16</v>
      </c>
      <c r="AE138" s="13" t="s">
        <v>15</v>
      </c>
      <c r="AF138" s="13" t="s">
        <v>15</v>
      </c>
      <c r="AG138" s="13" t="s">
        <v>16</v>
      </c>
      <c r="AH138" s="89" t="s">
        <v>16</v>
      </c>
      <c r="AI138" s="13" t="s">
        <v>16</v>
      </c>
      <c r="AJ138" s="13" t="s">
        <v>7</v>
      </c>
      <c r="AK138" s="13" t="s">
        <v>7</v>
      </c>
      <c r="AL138" s="13" t="s">
        <v>16</v>
      </c>
      <c r="AM138" s="13" t="s">
        <v>7</v>
      </c>
      <c r="AN138" s="13" t="s">
        <v>15</v>
      </c>
      <c r="AO138" s="13" t="s">
        <v>16</v>
      </c>
      <c r="AP138" s="13" t="s">
        <v>15</v>
      </c>
      <c r="AQ138" s="13" t="s">
        <v>7</v>
      </c>
      <c r="AR138" s="13" t="s">
        <v>7</v>
      </c>
      <c r="AS138" s="13" t="s">
        <v>7</v>
      </c>
      <c r="AT138" s="25" t="s">
        <v>15</v>
      </c>
    </row>
    <row r="139" spans="1:46" ht="12.75" customHeight="1" x14ac:dyDescent="0.3">
      <c r="A139" s="122"/>
      <c r="B139" s="106"/>
      <c r="C139" s="106"/>
      <c r="D139" s="98"/>
      <c r="E139" s="98"/>
      <c r="F139" s="98"/>
      <c r="G139" s="129"/>
      <c r="H139" s="129"/>
      <c r="I139" s="135"/>
      <c r="J139" s="26">
        <v>2</v>
      </c>
      <c r="K139" s="13">
        <v>2</v>
      </c>
      <c r="L139" s="13">
        <v>2</v>
      </c>
      <c r="M139" s="13">
        <v>1</v>
      </c>
      <c r="N139" s="13">
        <v>3</v>
      </c>
      <c r="O139" s="13">
        <v>2</v>
      </c>
      <c r="P139" s="13">
        <v>2</v>
      </c>
      <c r="Q139" s="13">
        <v>4</v>
      </c>
      <c r="R139" s="13">
        <v>3</v>
      </c>
      <c r="S139" s="13">
        <v>2</v>
      </c>
      <c r="T139" s="13">
        <v>2</v>
      </c>
      <c r="U139" s="13">
        <v>2</v>
      </c>
      <c r="V139" s="13">
        <v>3</v>
      </c>
      <c r="W139" s="13">
        <v>3</v>
      </c>
      <c r="X139" s="13">
        <v>2</v>
      </c>
      <c r="Y139" s="13">
        <v>2</v>
      </c>
      <c r="Z139" s="13">
        <v>0</v>
      </c>
      <c r="AA139" s="13">
        <v>1</v>
      </c>
      <c r="AB139" s="13">
        <v>2</v>
      </c>
      <c r="AC139" s="13">
        <v>1</v>
      </c>
      <c r="AD139" s="13">
        <v>2</v>
      </c>
      <c r="AE139" s="13">
        <v>3</v>
      </c>
      <c r="AF139" s="13">
        <v>1</v>
      </c>
      <c r="AG139" s="13">
        <v>2</v>
      </c>
      <c r="AH139" s="89">
        <v>2</v>
      </c>
      <c r="AI139" s="13">
        <v>2</v>
      </c>
      <c r="AJ139" s="13">
        <v>2</v>
      </c>
      <c r="AK139" s="13">
        <v>2</v>
      </c>
      <c r="AL139" s="13">
        <v>2</v>
      </c>
      <c r="AM139" s="13">
        <v>3</v>
      </c>
      <c r="AN139" s="13">
        <v>2</v>
      </c>
      <c r="AO139" s="13">
        <v>2</v>
      </c>
      <c r="AP139" s="13">
        <v>1</v>
      </c>
      <c r="AQ139" s="13">
        <v>2</v>
      </c>
      <c r="AR139" s="13">
        <v>1</v>
      </c>
      <c r="AS139" s="13">
        <v>2</v>
      </c>
      <c r="AT139" s="25">
        <v>3</v>
      </c>
    </row>
    <row r="140" spans="1:46" ht="12.75" customHeight="1" x14ac:dyDescent="0.3">
      <c r="A140" s="131" t="s">
        <v>7</v>
      </c>
      <c r="B140" s="116">
        <v>46190</v>
      </c>
      <c r="C140" s="107">
        <v>0.58333333333333337</v>
      </c>
      <c r="D140" s="99" t="s">
        <v>88</v>
      </c>
      <c r="E140" s="125" t="s">
        <v>24</v>
      </c>
      <c r="F140" s="125" t="s">
        <v>20</v>
      </c>
      <c r="G140" s="126">
        <v>4</v>
      </c>
      <c r="H140" s="126">
        <v>2</v>
      </c>
      <c r="I140" s="123" t="str">
        <f t="shared" ref="I140" si="39">IF(G140="","-",IF(G140&gt;H140,"L",IF(G140=H140,"E",IF(G140&lt;H140,"V"))))</f>
        <v>L</v>
      </c>
      <c r="J140" s="27" t="s">
        <v>7</v>
      </c>
      <c r="K140" s="19" t="s">
        <v>7</v>
      </c>
      <c r="L140" s="19" t="s">
        <v>7</v>
      </c>
      <c r="M140" s="19" t="s">
        <v>7</v>
      </c>
      <c r="N140" s="19" t="s">
        <v>7</v>
      </c>
      <c r="O140" s="19" t="s">
        <v>7</v>
      </c>
      <c r="P140" s="19" t="s">
        <v>7</v>
      </c>
      <c r="Q140" s="19" t="s">
        <v>16</v>
      </c>
      <c r="R140" s="19" t="s">
        <v>7</v>
      </c>
      <c r="S140" s="19" t="s">
        <v>16</v>
      </c>
      <c r="T140" s="19" t="s">
        <v>16</v>
      </c>
      <c r="U140" s="19" t="s">
        <v>16</v>
      </c>
      <c r="V140" s="19" t="s">
        <v>7</v>
      </c>
      <c r="W140" s="19" t="s">
        <v>16</v>
      </c>
      <c r="X140" s="19" t="s">
        <v>7</v>
      </c>
      <c r="Y140" s="19" t="s">
        <v>7</v>
      </c>
      <c r="Z140" s="19" t="s">
        <v>15</v>
      </c>
      <c r="AA140" s="19" t="s">
        <v>7</v>
      </c>
      <c r="AB140" s="19" t="s">
        <v>7</v>
      </c>
      <c r="AC140" s="19" t="s">
        <v>16</v>
      </c>
      <c r="AD140" s="19" t="s">
        <v>16</v>
      </c>
      <c r="AE140" s="19" t="s">
        <v>7</v>
      </c>
      <c r="AF140" s="19" t="s">
        <v>16</v>
      </c>
      <c r="AG140" s="19" t="s">
        <v>7</v>
      </c>
      <c r="AH140" s="91" t="s">
        <v>7</v>
      </c>
      <c r="AI140" s="19" t="s">
        <v>7</v>
      </c>
      <c r="AJ140" s="19" t="s">
        <v>7</v>
      </c>
      <c r="AK140" s="19" t="s">
        <v>7</v>
      </c>
      <c r="AL140" s="19" t="s">
        <v>7</v>
      </c>
      <c r="AM140" s="19" t="s">
        <v>7</v>
      </c>
      <c r="AN140" s="19" t="s">
        <v>7</v>
      </c>
      <c r="AO140" s="19" t="s">
        <v>7</v>
      </c>
      <c r="AP140" s="19" t="s">
        <v>7</v>
      </c>
      <c r="AQ140" s="19" t="s">
        <v>7</v>
      </c>
      <c r="AR140" s="19" t="s">
        <v>16</v>
      </c>
      <c r="AS140" s="19" t="s">
        <v>15</v>
      </c>
      <c r="AT140" s="28" t="s">
        <v>16</v>
      </c>
    </row>
    <row r="141" spans="1:46" ht="12.75" customHeight="1" x14ac:dyDescent="0.3">
      <c r="A141" s="132"/>
      <c r="B141" s="108"/>
      <c r="C141" s="108"/>
      <c r="D141" s="100"/>
      <c r="E141" s="100"/>
      <c r="F141" s="100"/>
      <c r="G141" s="127"/>
      <c r="H141" s="127"/>
      <c r="I141" s="124"/>
      <c r="J141" s="27">
        <v>3</v>
      </c>
      <c r="K141" s="19">
        <v>3</v>
      </c>
      <c r="L141" s="19">
        <v>2</v>
      </c>
      <c r="M141" s="19">
        <v>2</v>
      </c>
      <c r="N141" s="19">
        <v>3</v>
      </c>
      <c r="O141" s="19">
        <v>3</v>
      </c>
      <c r="P141" s="19">
        <v>3</v>
      </c>
      <c r="Q141" s="19">
        <v>2</v>
      </c>
      <c r="R141" s="19">
        <v>3</v>
      </c>
      <c r="S141" s="19">
        <v>2</v>
      </c>
      <c r="T141" s="19">
        <v>4</v>
      </c>
      <c r="U141" s="19">
        <v>2</v>
      </c>
      <c r="V141" s="19">
        <v>3</v>
      </c>
      <c r="W141" s="19">
        <v>4</v>
      </c>
      <c r="X141" s="19">
        <v>3</v>
      </c>
      <c r="Y141" s="19">
        <v>2</v>
      </c>
      <c r="Z141" s="19">
        <v>3</v>
      </c>
      <c r="AA141" s="19">
        <v>3</v>
      </c>
      <c r="AB141" s="19">
        <v>1</v>
      </c>
      <c r="AC141" s="19">
        <v>2</v>
      </c>
      <c r="AD141" s="19">
        <v>2</v>
      </c>
      <c r="AE141" s="19">
        <v>3</v>
      </c>
      <c r="AF141" s="19">
        <v>2</v>
      </c>
      <c r="AG141" s="19">
        <v>3</v>
      </c>
      <c r="AH141" s="91">
        <v>2</v>
      </c>
      <c r="AI141" s="19">
        <v>3</v>
      </c>
      <c r="AJ141" s="19">
        <v>2</v>
      </c>
      <c r="AK141" s="19">
        <v>3</v>
      </c>
      <c r="AL141" s="19">
        <v>1</v>
      </c>
      <c r="AM141" s="19">
        <v>3</v>
      </c>
      <c r="AN141" s="19">
        <v>3</v>
      </c>
      <c r="AO141" s="19">
        <v>2</v>
      </c>
      <c r="AP141" s="19">
        <v>5</v>
      </c>
      <c r="AQ141" s="19">
        <v>1</v>
      </c>
      <c r="AR141" s="19">
        <v>4</v>
      </c>
      <c r="AS141" s="19">
        <v>2</v>
      </c>
      <c r="AT141" s="28">
        <v>2</v>
      </c>
    </row>
    <row r="142" spans="1:46" ht="12.75" customHeight="1" x14ac:dyDescent="0.3">
      <c r="A142" s="132"/>
      <c r="B142" s="116">
        <v>46190</v>
      </c>
      <c r="C142" s="107">
        <v>0.70833333333333337</v>
      </c>
      <c r="D142" s="99" t="s">
        <v>84</v>
      </c>
      <c r="E142" s="125" t="s">
        <v>72</v>
      </c>
      <c r="F142" s="125" t="s">
        <v>73</v>
      </c>
      <c r="G142" s="126">
        <v>1</v>
      </c>
      <c r="H142" s="126">
        <v>0</v>
      </c>
      <c r="I142" s="123" t="str">
        <f t="shared" ref="I142" si="40">IF(G142="","-",IF(G142&gt;H142,"L",IF(G142=H142,"E",IF(G142&lt;H142,"V"))))</f>
        <v>L</v>
      </c>
      <c r="J142" s="26" t="s">
        <v>7</v>
      </c>
      <c r="K142" s="13" t="s">
        <v>7</v>
      </c>
      <c r="L142" s="13" t="s">
        <v>16</v>
      </c>
      <c r="M142" s="13" t="s">
        <v>16</v>
      </c>
      <c r="N142" s="13" t="s">
        <v>16</v>
      </c>
      <c r="O142" s="13" t="s">
        <v>7</v>
      </c>
      <c r="P142" s="13" t="s">
        <v>7</v>
      </c>
      <c r="Q142" s="13" t="s">
        <v>7</v>
      </c>
      <c r="R142" s="13" t="s">
        <v>15</v>
      </c>
      <c r="S142" s="13" t="s">
        <v>7</v>
      </c>
      <c r="T142" s="13" t="s">
        <v>7</v>
      </c>
      <c r="U142" s="13" t="s">
        <v>16</v>
      </c>
      <c r="V142" s="13" t="s">
        <v>7</v>
      </c>
      <c r="W142" s="13" t="s">
        <v>15</v>
      </c>
      <c r="X142" s="13" t="s">
        <v>7</v>
      </c>
      <c r="Y142" s="13" t="s">
        <v>7</v>
      </c>
      <c r="Z142" s="13" t="s">
        <v>7</v>
      </c>
      <c r="AA142" s="13" t="s">
        <v>7</v>
      </c>
      <c r="AB142" s="13" t="s">
        <v>7</v>
      </c>
      <c r="AC142" s="13" t="s">
        <v>16</v>
      </c>
      <c r="AD142" s="13" t="s">
        <v>7</v>
      </c>
      <c r="AE142" s="13" t="s">
        <v>7</v>
      </c>
      <c r="AF142" s="13" t="s">
        <v>7</v>
      </c>
      <c r="AG142" s="13" t="s">
        <v>7</v>
      </c>
      <c r="AH142" s="89" t="s">
        <v>7</v>
      </c>
      <c r="AI142" s="13" t="s">
        <v>16</v>
      </c>
      <c r="AJ142" s="13" t="s">
        <v>7</v>
      </c>
      <c r="AK142" s="13" t="s">
        <v>7</v>
      </c>
      <c r="AL142" s="13" t="s">
        <v>7</v>
      </c>
      <c r="AM142" s="13" t="s">
        <v>7</v>
      </c>
      <c r="AN142" s="13" t="s">
        <v>7</v>
      </c>
      <c r="AO142" s="13" t="s">
        <v>7</v>
      </c>
      <c r="AP142" s="13" t="s">
        <v>7</v>
      </c>
      <c r="AQ142" s="13" t="s">
        <v>16</v>
      </c>
      <c r="AR142" s="13" t="s">
        <v>7</v>
      </c>
      <c r="AS142" s="13" t="s">
        <v>15</v>
      </c>
      <c r="AT142" s="25" t="s">
        <v>16</v>
      </c>
    </row>
    <row r="143" spans="1:46" ht="12.75" customHeight="1" x14ac:dyDescent="0.3">
      <c r="A143" s="132"/>
      <c r="B143" s="108"/>
      <c r="C143" s="108"/>
      <c r="D143" s="100"/>
      <c r="E143" s="100"/>
      <c r="F143" s="100"/>
      <c r="G143" s="127"/>
      <c r="H143" s="127"/>
      <c r="I143" s="124"/>
      <c r="J143" s="26">
        <v>2</v>
      </c>
      <c r="K143" s="13">
        <v>1</v>
      </c>
      <c r="L143" s="13">
        <v>2</v>
      </c>
      <c r="M143" s="13">
        <v>2</v>
      </c>
      <c r="N143" s="13">
        <v>2</v>
      </c>
      <c r="O143" s="13">
        <v>1</v>
      </c>
      <c r="P143" s="13">
        <v>3</v>
      </c>
      <c r="Q143" s="13">
        <v>3</v>
      </c>
      <c r="R143" s="13">
        <v>1</v>
      </c>
      <c r="S143" s="13">
        <v>2</v>
      </c>
      <c r="T143" s="13">
        <v>3</v>
      </c>
      <c r="U143" s="13">
        <v>2</v>
      </c>
      <c r="V143" s="13">
        <v>1</v>
      </c>
      <c r="W143" s="13">
        <v>3</v>
      </c>
      <c r="X143" s="13">
        <v>3</v>
      </c>
      <c r="Y143" s="13">
        <v>3</v>
      </c>
      <c r="Z143" s="13">
        <v>3</v>
      </c>
      <c r="AA143" s="13">
        <v>3</v>
      </c>
      <c r="AB143" s="13">
        <v>1</v>
      </c>
      <c r="AC143" s="13">
        <v>0</v>
      </c>
      <c r="AD143" s="13">
        <v>1</v>
      </c>
      <c r="AE143" s="13">
        <v>2</v>
      </c>
      <c r="AF143" s="13">
        <v>2</v>
      </c>
      <c r="AG143" s="13">
        <v>3</v>
      </c>
      <c r="AH143" s="89">
        <v>2</v>
      </c>
      <c r="AI143" s="13">
        <v>2</v>
      </c>
      <c r="AJ143" s="13">
        <v>2</v>
      </c>
      <c r="AK143" s="13">
        <v>2</v>
      </c>
      <c r="AL143" s="13">
        <v>1</v>
      </c>
      <c r="AM143" s="13">
        <v>2</v>
      </c>
      <c r="AN143" s="13">
        <v>3</v>
      </c>
      <c r="AO143" s="13">
        <v>3</v>
      </c>
      <c r="AP143" s="13">
        <v>3</v>
      </c>
      <c r="AQ143" s="13">
        <v>2</v>
      </c>
      <c r="AR143" s="13">
        <v>3</v>
      </c>
      <c r="AS143" s="13">
        <v>2</v>
      </c>
      <c r="AT143" s="25">
        <v>2</v>
      </c>
    </row>
    <row r="144" spans="1:46" ht="12.75" customHeight="1" x14ac:dyDescent="0.3">
      <c r="A144" s="132"/>
      <c r="B144" s="116">
        <v>46196</v>
      </c>
      <c r="C144" s="107">
        <v>0.58333333333333337</v>
      </c>
      <c r="D144" s="99" t="s">
        <v>80</v>
      </c>
      <c r="E144" s="125" t="s">
        <v>24</v>
      </c>
      <c r="F144" s="125" t="s">
        <v>72</v>
      </c>
      <c r="G144" s="126"/>
      <c r="H144" s="126"/>
      <c r="I144" s="123" t="str">
        <f t="shared" ref="I144" si="41">IF(G144="","-",IF(G144&gt;H144,"L",IF(G144=H144,"E",IF(G144&lt;H144,"V"))))</f>
        <v>-</v>
      </c>
      <c r="J144" s="27" t="s">
        <v>7</v>
      </c>
      <c r="K144" s="19" t="s">
        <v>7</v>
      </c>
      <c r="L144" s="19" t="s">
        <v>7</v>
      </c>
      <c r="M144" s="19" t="s">
        <v>7</v>
      </c>
      <c r="N144" s="19" t="s">
        <v>7</v>
      </c>
      <c r="O144" s="19" t="s">
        <v>7</v>
      </c>
      <c r="P144" s="19" t="s">
        <v>7</v>
      </c>
      <c r="Q144" s="19" t="s">
        <v>7</v>
      </c>
      <c r="R144" s="19" t="s">
        <v>7</v>
      </c>
      <c r="S144" s="19" t="s">
        <v>7</v>
      </c>
      <c r="T144" s="19" t="s">
        <v>7</v>
      </c>
      <c r="U144" s="19" t="s">
        <v>7</v>
      </c>
      <c r="V144" s="19" t="s">
        <v>7</v>
      </c>
      <c r="W144" s="19" t="s">
        <v>7</v>
      </c>
      <c r="X144" s="19" t="s">
        <v>7</v>
      </c>
      <c r="Y144" s="19" t="s">
        <v>7</v>
      </c>
      <c r="Z144" s="19" t="s">
        <v>7</v>
      </c>
      <c r="AA144" s="19" t="s">
        <v>7</v>
      </c>
      <c r="AB144" s="19" t="s">
        <v>7</v>
      </c>
      <c r="AC144" s="19" t="s">
        <v>7</v>
      </c>
      <c r="AD144" s="19" t="s">
        <v>7</v>
      </c>
      <c r="AE144" s="19" t="s">
        <v>7</v>
      </c>
      <c r="AF144" s="19" t="s">
        <v>7</v>
      </c>
      <c r="AG144" s="19" t="s">
        <v>16</v>
      </c>
      <c r="AH144" s="91" t="s">
        <v>7</v>
      </c>
      <c r="AI144" s="19" t="s">
        <v>7</v>
      </c>
      <c r="AJ144" s="19" t="s">
        <v>7</v>
      </c>
      <c r="AK144" s="19" t="s">
        <v>7</v>
      </c>
      <c r="AL144" s="19" t="s">
        <v>7</v>
      </c>
      <c r="AM144" s="19" t="s">
        <v>7</v>
      </c>
      <c r="AN144" s="19" t="s">
        <v>7</v>
      </c>
      <c r="AO144" s="19" t="s">
        <v>7</v>
      </c>
      <c r="AP144" s="19" t="s">
        <v>7</v>
      </c>
      <c r="AQ144" s="19" t="s">
        <v>7</v>
      </c>
      <c r="AR144" s="19" t="s">
        <v>15</v>
      </c>
      <c r="AS144" s="19" t="s">
        <v>7</v>
      </c>
      <c r="AT144" s="28" t="s">
        <v>7</v>
      </c>
    </row>
    <row r="145" spans="1:46" ht="12.75" customHeight="1" x14ac:dyDescent="0.3">
      <c r="A145" s="132"/>
      <c r="B145" s="108"/>
      <c r="C145" s="108"/>
      <c r="D145" s="100"/>
      <c r="E145" s="100"/>
      <c r="F145" s="100"/>
      <c r="G145" s="127"/>
      <c r="H145" s="127"/>
      <c r="I145" s="124"/>
      <c r="J145" s="27">
        <v>3</v>
      </c>
      <c r="K145" s="19">
        <v>2</v>
      </c>
      <c r="L145" s="19">
        <v>2</v>
      </c>
      <c r="M145" s="19">
        <v>3</v>
      </c>
      <c r="N145" s="19">
        <v>3</v>
      </c>
      <c r="O145" s="19">
        <v>3</v>
      </c>
      <c r="P145" s="19">
        <v>3</v>
      </c>
      <c r="Q145" s="19">
        <v>2</v>
      </c>
      <c r="R145" s="19">
        <v>3</v>
      </c>
      <c r="S145" s="19">
        <v>2</v>
      </c>
      <c r="T145" s="19">
        <v>3</v>
      </c>
      <c r="U145" s="19">
        <v>2</v>
      </c>
      <c r="V145" s="19">
        <v>3</v>
      </c>
      <c r="W145" s="19">
        <v>4</v>
      </c>
      <c r="X145" s="19">
        <v>4</v>
      </c>
      <c r="Y145" s="19">
        <v>3</v>
      </c>
      <c r="Z145" s="19">
        <v>1</v>
      </c>
      <c r="AA145" s="19">
        <v>3</v>
      </c>
      <c r="AB145" s="19">
        <v>3</v>
      </c>
      <c r="AC145" s="19">
        <v>3</v>
      </c>
      <c r="AD145" s="19">
        <v>2</v>
      </c>
      <c r="AE145" s="19">
        <v>2</v>
      </c>
      <c r="AF145" s="19">
        <v>3</v>
      </c>
      <c r="AG145" s="19">
        <v>2</v>
      </c>
      <c r="AH145" s="91">
        <v>3</v>
      </c>
      <c r="AI145" s="19">
        <v>3</v>
      </c>
      <c r="AJ145" s="19">
        <v>3</v>
      </c>
      <c r="AK145" s="19">
        <v>3</v>
      </c>
      <c r="AL145" s="19">
        <v>3</v>
      </c>
      <c r="AM145" s="19">
        <v>1</v>
      </c>
      <c r="AN145" s="19">
        <v>4</v>
      </c>
      <c r="AO145" s="19">
        <v>3</v>
      </c>
      <c r="AP145" s="19">
        <v>4</v>
      </c>
      <c r="AQ145" s="19">
        <v>1</v>
      </c>
      <c r="AR145" s="19">
        <v>1</v>
      </c>
      <c r="AS145" s="19">
        <v>3</v>
      </c>
      <c r="AT145" s="28">
        <v>4</v>
      </c>
    </row>
    <row r="146" spans="1:46" ht="12.75" customHeight="1" x14ac:dyDescent="0.3">
      <c r="A146" s="132"/>
      <c r="B146" s="116">
        <v>46196</v>
      </c>
      <c r="C146" s="107">
        <v>0.70833333333333337</v>
      </c>
      <c r="D146" s="99" t="s">
        <v>84</v>
      </c>
      <c r="E146" s="125" t="s">
        <v>73</v>
      </c>
      <c r="F146" s="125" t="s">
        <v>20</v>
      </c>
      <c r="G146" s="126"/>
      <c r="H146" s="126"/>
      <c r="I146" s="123" t="str">
        <f t="shared" ref="I146" si="42">IF(G146="","-",IF(G146&gt;H146,"L",IF(G146=H146,"E",IF(G146&lt;H146,"V"))))</f>
        <v>-</v>
      </c>
      <c r="J146" s="26" t="s">
        <v>15</v>
      </c>
      <c r="K146" s="13" t="s">
        <v>16</v>
      </c>
      <c r="L146" s="13" t="s">
        <v>16</v>
      </c>
      <c r="M146" s="13" t="s">
        <v>15</v>
      </c>
      <c r="N146" s="13" t="s">
        <v>16</v>
      </c>
      <c r="O146" s="13" t="s">
        <v>15</v>
      </c>
      <c r="P146" s="13" t="s">
        <v>15</v>
      </c>
      <c r="Q146" s="13" t="s">
        <v>15</v>
      </c>
      <c r="R146" s="13" t="s">
        <v>15</v>
      </c>
      <c r="S146" s="13" t="s">
        <v>15</v>
      </c>
      <c r="T146" s="13" t="s">
        <v>15</v>
      </c>
      <c r="U146" s="13" t="s">
        <v>15</v>
      </c>
      <c r="V146" s="13" t="s">
        <v>15</v>
      </c>
      <c r="W146" s="13" t="s">
        <v>15</v>
      </c>
      <c r="X146" s="13" t="s">
        <v>15</v>
      </c>
      <c r="Y146" s="13" t="s">
        <v>15</v>
      </c>
      <c r="Z146" s="13" t="s">
        <v>15</v>
      </c>
      <c r="AA146" s="13" t="s">
        <v>15</v>
      </c>
      <c r="AB146" s="13" t="s">
        <v>15</v>
      </c>
      <c r="AC146" s="13" t="s">
        <v>15</v>
      </c>
      <c r="AD146" s="13" t="s">
        <v>15</v>
      </c>
      <c r="AE146" s="13" t="s">
        <v>15</v>
      </c>
      <c r="AF146" s="13" t="s">
        <v>15</v>
      </c>
      <c r="AG146" s="13" t="s">
        <v>16</v>
      </c>
      <c r="AH146" s="89" t="s">
        <v>15</v>
      </c>
      <c r="AI146" s="13" t="s">
        <v>15</v>
      </c>
      <c r="AJ146" s="13" t="s">
        <v>15</v>
      </c>
      <c r="AK146" s="13" t="s">
        <v>15</v>
      </c>
      <c r="AL146" s="13" t="s">
        <v>15</v>
      </c>
      <c r="AM146" s="13" t="s">
        <v>15</v>
      </c>
      <c r="AN146" s="13" t="s">
        <v>15</v>
      </c>
      <c r="AO146" s="13" t="s">
        <v>15</v>
      </c>
      <c r="AP146" s="13" t="s">
        <v>15</v>
      </c>
      <c r="AQ146" s="13" t="s">
        <v>15</v>
      </c>
      <c r="AR146" s="13" t="s">
        <v>15</v>
      </c>
      <c r="AS146" s="13" t="s">
        <v>15</v>
      </c>
      <c r="AT146" s="25" t="s">
        <v>15</v>
      </c>
    </row>
    <row r="147" spans="1:46" ht="12.75" customHeight="1" x14ac:dyDescent="0.3">
      <c r="A147" s="132"/>
      <c r="B147" s="108"/>
      <c r="C147" s="108"/>
      <c r="D147" s="100"/>
      <c r="E147" s="100"/>
      <c r="F147" s="100"/>
      <c r="G147" s="127"/>
      <c r="H147" s="127"/>
      <c r="I147" s="124"/>
      <c r="J147" s="26">
        <v>3</v>
      </c>
      <c r="K147" s="13">
        <v>2</v>
      </c>
      <c r="L147" s="13">
        <v>1</v>
      </c>
      <c r="M147" s="13">
        <v>2</v>
      </c>
      <c r="N147" s="13">
        <v>2</v>
      </c>
      <c r="O147" s="13">
        <v>2</v>
      </c>
      <c r="P147" s="13">
        <v>3</v>
      </c>
      <c r="Q147" s="13">
        <v>4</v>
      </c>
      <c r="R147" s="13">
        <v>3</v>
      </c>
      <c r="S147" s="13">
        <v>2</v>
      </c>
      <c r="T147" s="13">
        <v>4</v>
      </c>
      <c r="U147" s="13">
        <v>2</v>
      </c>
      <c r="V147" s="13">
        <v>3</v>
      </c>
      <c r="W147" s="13">
        <v>3</v>
      </c>
      <c r="X147" s="13">
        <v>3</v>
      </c>
      <c r="Y147" s="13">
        <v>2</v>
      </c>
      <c r="Z147" s="13">
        <v>3</v>
      </c>
      <c r="AA147" s="13">
        <v>3</v>
      </c>
      <c r="AB147" s="13">
        <v>1</v>
      </c>
      <c r="AC147" s="13">
        <v>2</v>
      </c>
      <c r="AD147" s="13">
        <v>2</v>
      </c>
      <c r="AE147" s="13">
        <v>3</v>
      </c>
      <c r="AF147" s="13">
        <v>2</v>
      </c>
      <c r="AG147" s="13">
        <v>2</v>
      </c>
      <c r="AH147" s="89">
        <v>2</v>
      </c>
      <c r="AI147" s="13">
        <v>2</v>
      </c>
      <c r="AJ147" s="13">
        <v>2</v>
      </c>
      <c r="AK147" s="13">
        <v>2</v>
      </c>
      <c r="AL147" s="13">
        <v>1</v>
      </c>
      <c r="AM147" s="13">
        <v>3</v>
      </c>
      <c r="AN147" s="13">
        <v>3</v>
      </c>
      <c r="AO147" s="13">
        <v>4</v>
      </c>
      <c r="AP147" s="13">
        <v>4</v>
      </c>
      <c r="AQ147" s="13">
        <v>1</v>
      </c>
      <c r="AR147" s="13">
        <v>2</v>
      </c>
      <c r="AS147" s="13">
        <v>2</v>
      </c>
      <c r="AT147" s="25">
        <v>4</v>
      </c>
    </row>
    <row r="148" spans="1:46" ht="12.75" customHeight="1" x14ac:dyDescent="0.3">
      <c r="A148" s="132"/>
      <c r="B148" s="116">
        <v>46200</v>
      </c>
      <c r="C148" s="107">
        <v>0.625</v>
      </c>
      <c r="D148" s="99" t="s">
        <v>81</v>
      </c>
      <c r="E148" s="125" t="s">
        <v>73</v>
      </c>
      <c r="F148" s="125" t="s">
        <v>24</v>
      </c>
      <c r="G148" s="126"/>
      <c r="H148" s="126"/>
      <c r="I148" s="123" t="str">
        <f t="shared" ref="I148" si="43">IF(G148="","-",IF(G148&gt;H148,"L",IF(G148=H148,"E",IF(G148&lt;H148,"V"))))</f>
        <v>-</v>
      </c>
      <c r="J148" s="27" t="s">
        <v>15</v>
      </c>
      <c r="K148" s="19" t="s">
        <v>15</v>
      </c>
      <c r="L148" s="19" t="s">
        <v>15</v>
      </c>
      <c r="M148" s="19" t="s">
        <v>15</v>
      </c>
      <c r="N148" s="19" t="s">
        <v>15</v>
      </c>
      <c r="O148" s="19" t="s">
        <v>15</v>
      </c>
      <c r="P148" s="19" t="s">
        <v>15</v>
      </c>
      <c r="Q148" s="19" t="s">
        <v>15</v>
      </c>
      <c r="R148" s="19" t="s">
        <v>15</v>
      </c>
      <c r="S148" s="19" t="s">
        <v>15</v>
      </c>
      <c r="T148" s="19" t="s">
        <v>15</v>
      </c>
      <c r="U148" s="19" t="s">
        <v>15</v>
      </c>
      <c r="V148" s="19" t="s">
        <v>15</v>
      </c>
      <c r="W148" s="19" t="s">
        <v>15</v>
      </c>
      <c r="X148" s="19" t="s">
        <v>15</v>
      </c>
      <c r="Y148" s="19" t="s">
        <v>15</v>
      </c>
      <c r="Z148" s="19" t="s">
        <v>15</v>
      </c>
      <c r="AA148" s="19" t="s">
        <v>15</v>
      </c>
      <c r="AB148" s="19" t="s">
        <v>15</v>
      </c>
      <c r="AC148" s="19" t="s">
        <v>15</v>
      </c>
      <c r="AD148" s="19" t="s">
        <v>15</v>
      </c>
      <c r="AE148" s="19" t="s">
        <v>15</v>
      </c>
      <c r="AF148" s="19" t="s">
        <v>15</v>
      </c>
      <c r="AG148" s="19" t="s">
        <v>15</v>
      </c>
      <c r="AH148" s="91" t="s">
        <v>15</v>
      </c>
      <c r="AI148" s="19" t="s">
        <v>15</v>
      </c>
      <c r="AJ148" s="19" t="s">
        <v>15</v>
      </c>
      <c r="AK148" s="19" t="s">
        <v>15</v>
      </c>
      <c r="AL148" s="19" t="s">
        <v>15</v>
      </c>
      <c r="AM148" s="19" t="s">
        <v>15</v>
      </c>
      <c r="AN148" s="19" t="s">
        <v>15</v>
      </c>
      <c r="AO148" s="19" t="s">
        <v>15</v>
      </c>
      <c r="AP148" s="19" t="s">
        <v>15</v>
      </c>
      <c r="AQ148" s="19" t="s">
        <v>15</v>
      </c>
      <c r="AR148" s="19" t="s">
        <v>15</v>
      </c>
      <c r="AS148" s="19" t="s">
        <v>16</v>
      </c>
      <c r="AT148" s="28" t="s">
        <v>15</v>
      </c>
    </row>
    <row r="149" spans="1:46" ht="12.75" customHeight="1" x14ac:dyDescent="0.3">
      <c r="A149" s="132"/>
      <c r="B149" s="108"/>
      <c r="C149" s="108"/>
      <c r="D149" s="100"/>
      <c r="E149" s="100"/>
      <c r="F149" s="100"/>
      <c r="G149" s="127"/>
      <c r="H149" s="127"/>
      <c r="I149" s="124"/>
      <c r="J149" s="27">
        <v>3</v>
      </c>
      <c r="K149" s="19">
        <v>3</v>
      </c>
      <c r="L149" s="19">
        <v>2</v>
      </c>
      <c r="M149" s="19">
        <v>4</v>
      </c>
      <c r="N149" s="19">
        <v>2</v>
      </c>
      <c r="O149" s="19">
        <v>3</v>
      </c>
      <c r="P149" s="19">
        <v>3</v>
      </c>
      <c r="Q149" s="19">
        <v>2</v>
      </c>
      <c r="R149" s="19">
        <v>3</v>
      </c>
      <c r="S149" s="19">
        <v>3</v>
      </c>
      <c r="T149" s="19">
        <v>3</v>
      </c>
      <c r="U149" s="19">
        <v>2</v>
      </c>
      <c r="V149" s="19">
        <v>2</v>
      </c>
      <c r="W149" s="19">
        <v>3</v>
      </c>
      <c r="X149" s="19">
        <v>3</v>
      </c>
      <c r="Y149" s="19">
        <v>3</v>
      </c>
      <c r="Z149" s="19">
        <v>2</v>
      </c>
      <c r="AA149" s="19">
        <v>2</v>
      </c>
      <c r="AB149" s="19">
        <v>3</v>
      </c>
      <c r="AC149" s="19">
        <v>3</v>
      </c>
      <c r="AD149" s="19">
        <v>3</v>
      </c>
      <c r="AE149" s="19">
        <v>2</v>
      </c>
      <c r="AF149" s="19">
        <v>3</v>
      </c>
      <c r="AG149" s="19">
        <v>3</v>
      </c>
      <c r="AH149" s="91">
        <v>3</v>
      </c>
      <c r="AI149" s="19">
        <v>3</v>
      </c>
      <c r="AJ149" s="19">
        <v>2</v>
      </c>
      <c r="AK149" s="19">
        <v>3</v>
      </c>
      <c r="AL149" s="19">
        <v>3</v>
      </c>
      <c r="AM149" s="19">
        <v>4</v>
      </c>
      <c r="AN149" s="19">
        <v>4</v>
      </c>
      <c r="AO149" s="19">
        <v>4</v>
      </c>
      <c r="AP149" s="19">
        <v>3</v>
      </c>
      <c r="AQ149" s="19">
        <v>2</v>
      </c>
      <c r="AR149" s="19">
        <v>2</v>
      </c>
      <c r="AS149" s="19">
        <v>4</v>
      </c>
      <c r="AT149" s="28">
        <v>5</v>
      </c>
    </row>
    <row r="150" spans="1:46" ht="12.75" customHeight="1" x14ac:dyDescent="0.3">
      <c r="A150" s="132"/>
      <c r="B150" s="116">
        <v>46200</v>
      </c>
      <c r="C150" s="107">
        <v>0.625</v>
      </c>
      <c r="D150" s="99" t="s">
        <v>94</v>
      </c>
      <c r="E150" s="125" t="s">
        <v>20</v>
      </c>
      <c r="F150" s="125" t="s">
        <v>72</v>
      </c>
      <c r="G150" s="126"/>
      <c r="H150" s="126"/>
      <c r="I150" s="123" t="str">
        <f t="shared" ref="I150" si="44">IF(G150="","-",IF(G150&gt;H150,"L",IF(G150=H150,"E",IF(G150&lt;H150,"V"))))</f>
        <v>-</v>
      </c>
      <c r="J150" s="26" t="s">
        <v>7</v>
      </c>
      <c r="K150" s="13" t="s">
        <v>15</v>
      </c>
      <c r="L150" s="13" t="s">
        <v>7</v>
      </c>
      <c r="M150" s="13" t="s">
        <v>7</v>
      </c>
      <c r="N150" s="13" t="s">
        <v>7</v>
      </c>
      <c r="O150" s="13" t="s">
        <v>7</v>
      </c>
      <c r="P150" s="13" t="s">
        <v>7</v>
      </c>
      <c r="Q150" s="13" t="s">
        <v>16</v>
      </c>
      <c r="R150" s="13" t="s">
        <v>7</v>
      </c>
      <c r="S150" s="13" t="s">
        <v>16</v>
      </c>
      <c r="T150" s="13" t="s">
        <v>7</v>
      </c>
      <c r="U150" s="13" t="s">
        <v>7</v>
      </c>
      <c r="V150" s="13" t="s">
        <v>7</v>
      </c>
      <c r="W150" s="13" t="s">
        <v>7</v>
      </c>
      <c r="X150" s="13" t="s">
        <v>7</v>
      </c>
      <c r="Y150" s="13" t="s">
        <v>7</v>
      </c>
      <c r="Z150" s="13" t="s">
        <v>15</v>
      </c>
      <c r="AA150" s="13" t="s">
        <v>7</v>
      </c>
      <c r="AB150" s="13" t="s">
        <v>7</v>
      </c>
      <c r="AC150" s="13" t="s">
        <v>7</v>
      </c>
      <c r="AD150" s="13" t="s">
        <v>7</v>
      </c>
      <c r="AE150" s="13" t="s">
        <v>16</v>
      </c>
      <c r="AF150" s="13" t="s">
        <v>7</v>
      </c>
      <c r="AG150" s="13" t="s">
        <v>15</v>
      </c>
      <c r="AH150" s="89" t="s">
        <v>16</v>
      </c>
      <c r="AI150" s="13" t="s">
        <v>7</v>
      </c>
      <c r="AJ150" s="13" t="s">
        <v>7</v>
      </c>
      <c r="AK150" s="13" t="s">
        <v>7</v>
      </c>
      <c r="AL150" s="13" t="s">
        <v>7</v>
      </c>
      <c r="AM150" s="13" t="s">
        <v>7</v>
      </c>
      <c r="AN150" s="13" t="s">
        <v>7</v>
      </c>
      <c r="AO150" s="13" t="s">
        <v>16</v>
      </c>
      <c r="AP150" s="13" t="s">
        <v>7</v>
      </c>
      <c r="AQ150" s="13" t="s">
        <v>15</v>
      </c>
      <c r="AR150" s="13" t="s">
        <v>15</v>
      </c>
      <c r="AS150" s="13" t="s">
        <v>7</v>
      </c>
      <c r="AT150" s="25" t="s">
        <v>7</v>
      </c>
    </row>
    <row r="151" spans="1:46" ht="12.75" customHeight="1" x14ac:dyDescent="0.3">
      <c r="A151" s="133"/>
      <c r="B151" s="108"/>
      <c r="C151" s="108"/>
      <c r="D151" s="100"/>
      <c r="E151" s="100"/>
      <c r="F151" s="100"/>
      <c r="G151" s="127"/>
      <c r="H151" s="127"/>
      <c r="I151" s="124"/>
      <c r="J151" s="92">
        <v>3</v>
      </c>
      <c r="K151" s="14">
        <v>2</v>
      </c>
      <c r="L151" s="14">
        <v>2</v>
      </c>
      <c r="M151" s="14">
        <v>3</v>
      </c>
      <c r="N151" s="14">
        <v>4</v>
      </c>
      <c r="O151" s="14">
        <v>2</v>
      </c>
      <c r="P151" s="14">
        <v>2</v>
      </c>
      <c r="Q151" s="14">
        <v>2</v>
      </c>
      <c r="R151" s="14">
        <v>4</v>
      </c>
      <c r="S151" s="14">
        <v>2</v>
      </c>
      <c r="T151" s="14">
        <v>3</v>
      </c>
      <c r="U151" s="14">
        <v>2</v>
      </c>
      <c r="V151" s="14">
        <v>2</v>
      </c>
      <c r="W151" s="14">
        <v>3</v>
      </c>
      <c r="X151" s="14">
        <v>3</v>
      </c>
      <c r="Y151" s="14">
        <v>2</v>
      </c>
      <c r="Z151" s="14">
        <v>3</v>
      </c>
      <c r="AA151" s="14">
        <v>2</v>
      </c>
      <c r="AB151" s="14">
        <v>2</v>
      </c>
      <c r="AC151" s="14">
        <v>2</v>
      </c>
      <c r="AD151" s="14">
        <v>3</v>
      </c>
      <c r="AE151" s="14">
        <v>4</v>
      </c>
      <c r="AF151" s="14">
        <v>2</v>
      </c>
      <c r="AG151" s="14">
        <v>3</v>
      </c>
      <c r="AH151" s="93">
        <v>2</v>
      </c>
      <c r="AI151" s="14">
        <v>3</v>
      </c>
      <c r="AJ151" s="14">
        <v>1</v>
      </c>
      <c r="AK151" s="14">
        <v>3</v>
      </c>
      <c r="AL151" s="14">
        <v>2</v>
      </c>
      <c r="AM151" s="14">
        <v>1</v>
      </c>
      <c r="AN151" s="14">
        <v>3</v>
      </c>
      <c r="AO151" s="14">
        <v>4</v>
      </c>
      <c r="AP151" s="14">
        <v>2</v>
      </c>
      <c r="AQ151" s="14">
        <v>1</v>
      </c>
      <c r="AR151" s="14">
        <v>2</v>
      </c>
      <c r="AS151" s="14">
        <v>4</v>
      </c>
      <c r="AT151" s="29">
        <v>3</v>
      </c>
    </row>
    <row r="152" spans="1:46" ht="12.75" customHeight="1" x14ac:dyDescent="0.3">
      <c r="F152" s="136" t="s">
        <v>10</v>
      </c>
      <c r="G152" s="136"/>
      <c r="H152" s="136"/>
      <c r="I152" s="5">
        <f>SUM(G8:H151)</f>
        <v>109</v>
      </c>
      <c r="J152" s="51">
        <f>SUM(J79,J77,J75,J73,J71,J69,J67,J65,J63,J61,J59,J57,J55,J53,J51,J49,J47,J45,J43,J41,J39,J37,J35,J33,J31,J29,J27,J25,J23,J21,J19,J17,J15,J13,J11,J9,J81,J83,J85,J87,J89,J91,J93,J95,J97,J99,J101,J103,J105,J107,J109,J111,J113,J115,J117,J119,J121,J123,J125,J127,J129,J131,J133,J135,J137,J139,J141,J143,J145,J147,J149,J151)</f>
        <v>169</v>
      </c>
      <c r="K152" s="15">
        <f>SUM(K79,K77,K75,K73,K71,K69,K67,K65,K63,K61,K59,K57,K55,K53,K51,K49,K47,K45,K43,K41,K39,K37,K35,K33,K31,K29,K27,K25,K23,K21,K19,K17,K15,K13,K11,K9,K81,K83,K85,K87,K89,K91,K93,K95,K97,K99,K101,K103,K105,K107,K109,K111,K113,K115,K117,K119,K121,K123,K125,K127,K129,K131,K133,K135,K137,K139,K141,K143,K145,K147,K149,K151)</f>
        <v>190</v>
      </c>
      <c r="L152" s="15">
        <f>SUM(L79,L77,L75,L73,L71,L69,L67,L65,L63,L61,L59,L57,L55,L53,L51,L49,L47,L45,L43,L41,L39,L37,L35,L33,L31,L29,L27,L25,L23,L21,L19,L17,L15,L13,L11,L9,L81,L83,L85,L87,L89,L91,L93,L95,L97,L99,L101,L103,L105,L107,L109,L111,L113,L115,L117,L119,L121,L123,L125,L127,L129,L131,L133,L135,L137,L139,L141,L143,L145,L147,L149,L151)</f>
        <v>154</v>
      </c>
      <c r="M152" s="15">
        <f>SUM(M79,M77,M75,M73,M71,M69,M67,M65,M63,M61,M59,M57,M55,M53,M51,M49,M47,M45,M43,M41,M39,M37,M35,M33,M31,M29,M27,M25,M23,M21,M19,M17,M15,M13,M11,M9,M81,M83,M85,M87,M89,M91,M93,M95,M97,M99,M101,M103,M105,M107,M109,M111,M113,M115,M117,M119,M121,M123,M125,M127,M129,M131,M133,M135,M137,M139,M141,M143,M145,M147,M149,M151)</f>
        <v>175</v>
      </c>
      <c r="N152" s="15">
        <f>SUM(N79,N77,N75,N73,N71,N69,N67,N65,N63,N61,N59,N57,N55,N53,N51,N49,N47,N45,N43,N41,N39,N37,N35,N33,N31,N29,N27,N25,N23,N21,N19,N17,N15,N13,N11,N9,N81,N83,N85,N87,N89,N91,N93,N95,N97,N99,N101,N103,N105,N107,N109,N111,N113,N115,N117,N119,N121,N123,N125,N127,N129,N131,N133,N135,N137,N139,N141,N143,N145,N147,N149,N151)</f>
        <v>177</v>
      </c>
      <c r="O152" s="15">
        <f>SUM(O79,O77,O75,O73,O71,O69,O67,O65,O63,O61,O59,O57,O55,O53,O51,O49,O47,O45,O43,O41,O39,O37,O35,O33,O31,O29,O27,O25,O23,O21,O19,O17,O15,O13,O11,O9,O81,O83,O85,O87,O89,O91,O93,O95,O97,O99,O101,O103,O105,O107,O109,O111,O113,O115,O117,O119,O121,O123,O125,O127,O129,O131,O133,O135,O137,O139,O141,O143,O145,O147,O149,O151)</f>
        <v>195</v>
      </c>
      <c r="P152" s="15">
        <f>SUM(P79,P77,P75,P73,P71,P69,P67,P65,P63,P61,P59,P57,P55,P53,P51,P49,P47,P45,P43,P41,P39,P37,P35,P33,P31,P29,P27,P25,P23,P21,P19,P17,P15,P13,P11,P9,P81,P83,P85,P87,P89,P91,P93,P95,P97,P99,P101,P103,P105,P107,P109,P111,P113,P115,P117,P119,P121,P123,P125,P127,P129,P131,P133,P135,P137,P139,P141,P143,P145,P147,P149,P151)</f>
        <v>201</v>
      </c>
      <c r="Q152" s="15">
        <f>SUM(Q79,Q77,Q75,Q73,Q71,Q69,Q67,Q65,Q63,Q61,Q59,Q57,Q55,Q53,Q51,Q49,Q47,Q45,Q43,Q41,Q39,Q37,Q35,Q33,Q31,Q29,Q27,Q25,Q23,Q21,Q19,Q17,Q15,Q13,Q11,Q9,Q81,Q83,Q85,Q87,Q89,Q91,Q93,Q95,Q97,Q99,Q101,Q103,Q105,Q107,Q109,Q111,Q113,Q115,Q117,Q119,Q121,Q123,Q125,Q127,Q129,Q131,Q133,Q135,Q137,Q139,Q141,Q143,Q145,Q147,Q149,Q151)</f>
        <v>181</v>
      </c>
      <c r="R152" s="15">
        <f>SUM(R79,R77,R75,R73,R71,R69,R67,R65,R63,R61,R59,R57,R55,R53,R51,R49,R47,R45,R43,R41,R39,R37,R35,R33,R31,R29,R27,R25,R23,R21,R19,R17,R15,R13,R11,R9,R81,R83,R85,R87,R89,R91,R93,R95,R97,R99,R101,R103,R105,R107,R109,R111,R113,R115,R117,R119,R121,R123,R125,R127,R129,R131,R133,R135,R137,R139,R141,R143,R145,R147,R149,R151)</f>
        <v>186</v>
      </c>
      <c r="S152" s="15">
        <f>SUM(S79,S77,S75,S73,S71,S69,S67,S65,S63,S61,S59,S57,S55,S53,S51,S49,S47,S45,S43,S41,S39,S37,S35,S33,S31,S29,S27,S25,S23,S21,S19,S17,S15,S13,S11,S9,S81,S83,S85,S87,S89,S91,S93,S95,S97,S99,S101,S103,S105,S107,S109,S111,S113,S115,S117,S119,S121,S123,S125,S127,S129,S131,S133,S135,S137,S139,S141,S143,S145,S147,S149,S151)</f>
        <v>186</v>
      </c>
      <c r="T152" s="15">
        <f>SUM(T79,T77,T75,T73,T71,T69,T67,T65,T63,T61,T59,T57,T55,T53,T51,T49,T47,T45,T43,T41,T39,T37,T35,T33,T31,T29,T27,T25,T23,T21,T19,T17,T15,T13,T11,T9,T81,T83,T85,T87,T89,T91,T93,T95,T97,T99,T101,T103,T105,T107,T109,T111,T113,T115,T117,T119,T121,T123,T125,T127,T129,T131,T133,T135,T137,T139,T141,T143,T145,T147,T149,T151)</f>
        <v>204</v>
      </c>
      <c r="U152" s="15">
        <f>SUM(U79,U77,U75,U73,U71,U69,U67,U65,U63,U61,U59,U57,U55,U53,U51,U49,U47,U45,U43,U41,U39,U37,U35,U33,U31,U29,U27,U25,U23,U21,U19,U17,U15,U13,U11,U9,U81,U83,U85,U87,U89,U91,U93,U95,U97,U99,U101,U103,U105,U107,U109,U111,U113,U115,U117,U119,U121,U123,U125,U127,U129,U131,U133,U135,U137,U139,U141,U143,U145,U147,U149,U151)</f>
        <v>162</v>
      </c>
      <c r="V152" s="15">
        <f>SUM(V79,V77,V75,V73,V71,V69,V67,V65,V63,V61,V59,V57,V55,V53,V51,V49,V47,V45,V43,V41,V39,V37,V35,V33,V31,V29,V27,V25,V23,V21,V19,V17,V15,V13,V11,V9,V81,V83,V85,V87,V89,V91,V93,V95,V97,V99,V101,V103,V105,V107,V109,V111,V113,V115,V117,V119,V121,V123,V125,V127,V129,V131,V133,V135,V137,V139,V141,V143,V145,V147,V149,V151)</f>
        <v>177</v>
      </c>
      <c r="W152" s="15">
        <f>SUM(W79,W77,W75,W73,W71,W69,W67,W65,W63,W61,W59,W57,W55,W53,W51,W49,W47,W45,W43,W41,W39,W37,W35,W33,W31,W29,W27,W25,W23,W21,W19,W17,W15,W13,W11,W9,W81,W83,W85,W87,W89,W91,W93,W95,W97,W99,W101,W103,W105,W107,W109,W111,W113,W115,W117,W119,W121,W123,W125,W127,W129,W131,W133,W135,W137,W139,W141,W143,W145,W147,W149,W151)</f>
        <v>220</v>
      </c>
      <c r="X152" s="15">
        <f>SUM(X79,X77,X75,X73,X71,X69,X67,X65,X63,X61,X59,X57,X55,X53,X51,X49,X47,X45,X43,X41,X39,X37,X35,X33,X31,X29,X27,X25,X23,X21,X19,X17,X15,X13,X11,X9,X81,X83,X85,X87,X89,X91,X93,X95,X97,X99,X101,X103,X105,X107,X109,X111,X113,X115,X117,X119,X121,X123,X125,X127,X129,X131,X133,X135,X137,X139,X141,X143,X145,X147,X149,X151)</f>
        <v>185</v>
      </c>
      <c r="Y152" s="15">
        <f>SUM(Y79,Y77,Y75,Y73,Y71,Y69,Y67,Y65,Y63,Y61,Y59,Y57,Y55,Y53,Y51,Y49,Y47,Y45,Y43,Y41,Y39,Y37,Y35,Y33,Y31,Y29,Y27,Y25,Y23,Y21,Y19,Y17,Y15,Y13,Y11,Y9,Y81,Y83,Y85,Y87,Y89,Y91,Y93,Y95,Y97,Y99,Y101,Y103,Y105,Y107,Y109,Y111,Y113,Y115,Y117,Y119,Y121,Y123,Y125,Y127,Y129,Y131,Y133,Y135,Y137,Y139,Y141,Y143,Y145,Y147,Y149,Y151)</f>
        <v>183</v>
      </c>
      <c r="Z152" s="15">
        <f>SUM(Z79,Z77,Z75,Z73,Z71,Z69,Z67,Z65,Z63,Z61,Z59,Z57,Z55,Z53,Z51,Z49,Z47,Z45,Z43,Z41,Z39,Z37,Z35,Z33,Z31,Z29,Z27,Z25,Z23,Z21,Z19,Z17,Z15,Z13,Z11,Z9,Z81,Z83,Z85,Z87,Z89,Z91,Z93,Z95,Z97,Z99,Z101,Z103,Z105,Z107,Z109,Z111,Z113,Z115,Z117,Z119,Z121,Z123,Z125,Z127,Z129,Z131,Z133,Z135,Z137,Z139,Z141,Z143,Z145,Z147,Z149,Z151)</f>
        <v>190</v>
      </c>
      <c r="AA152" s="15">
        <f>SUM(AA79,AA77,AA75,AA73,AA71,AA69,AA67,AA65,AA63,AA61,AA59,AA57,AA55,AA53,AA51,AA49,AA47,AA45,AA43,AA41,AA39,AA37,AA35,AA33,AA31,AA29,AA27,AA25,AA23,AA21,AA19,AA17,AA15,AA13,AA11,AA9,AA81,AA83,AA85,AA87,AA89,AA91,AA93,AA95,AA97,AA99,AA101,AA103,AA105,AA107,AA109,AA111,AA113,AA115,AA117,AA119,AA121,AA123,AA125,AA127,AA129,AA131,AA133,AA135,AA137,AA139,AA141,AA143,AA145,AA147,AA149,AA151)</f>
        <v>194</v>
      </c>
      <c r="AB152" s="15">
        <f>SUM(AB79,AB77,AB75,AB73,AB71,AB69,AB67,AB65,AB63,AB61,AB59,AB57,AB55,AB53,AB51,AB49,AB47,AB45,AB43,AB41,AB39,AB37,AB35,AB33,AB31,AB29,AB27,AB25,AB23,AB21,AB19,AB17,AB15,AB13,AB11,AB9,AB81,AB83,AB85,AB87,AB89,AB91,AB93,AB95,AB97,AB99,AB101,AB103,AB105,AB107,AB109,AB111,AB113,AB115,AB117,AB119,AB121,AB123,AB125,AB127,AB129,AB131,AB133,AB135,AB137,AB139,AB141,AB143,AB145,AB147,AB149,AB151)</f>
        <v>163</v>
      </c>
      <c r="AC152" s="15">
        <f>SUM(AC79,AC77,AC75,AC73,AC71,AC69,AC67,AC65,AC63,AC61,AC59,AC57,AC55,AC53,AC51,AC49,AC47,AC45,AC43,AC41,AC39,AC37,AC35,AC33,AC31,AC29,AC27,AC25,AC23,AC21,AC19,AC17,AC15,AC13,AC11,AC9,AC81,AC83,AC85,AC87,AC89,AC91,AC93,AC95,AC97,AC99,AC101,AC103,AC105,AC107,AC109,AC111,AC113,AC115,AC117,AC119,AC121,AC123,AC125,AC127,AC129,AC131,AC133,AC135,AC137,AC139,AC141,AC143,AC145,AC147,AC149,AC151)</f>
        <v>172</v>
      </c>
      <c r="AD152" s="15">
        <f>SUM(AD79,AD77,AD75,AD73,AD71,AD69,AD67,AD65,AD63,AD61,AD59,AD57,AD55,AD53,AD51,AD49,AD47,AD45,AD43,AD41,AD39,AD37,AD35,AD33,AD31,AD29,AD27,AD25,AD23,AD21,AD19,AD17,AD15,AD13,AD11,AD9,AD81,AD83,AD85,AD87,AD89,AD91,AD93,AD95,AD97,AD99,AD101,AD103,AD105,AD107,AD109,AD111,AD113,AD115,AD117,AD119,AD121,AD123,AD125,AD127,AD129,AD131,AD133,AD135,AD137,AD139,AD141,AD143,AD145,AD147,AD149,AD151)</f>
        <v>183</v>
      </c>
      <c r="AE152" s="15">
        <f>SUM(AE79,AE77,AE75,AE73,AE71,AE69,AE67,AE65,AE63,AE61,AE59,AE57,AE55,AE53,AE51,AE49,AE47,AE45,AE43,AE41,AE39,AE37,AE35,AE33,AE31,AE29,AE27,AE25,AE23,AE21,AE19,AE17,AE15,AE13,AE11,AE9,AE81,AE83,AE85,AE87,AE89,AE91,AE93,AE95,AE97,AE99,AE101,AE103,AE105,AE107,AE109,AE111,AE113,AE115,AE117,AE119,AE121,AE123,AE125,AE127,AE129,AE131,AE133,AE135,AE137,AE139,AE141,AE143,AE145,AE147,AE149,AE151)</f>
        <v>222</v>
      </c>
      <c r="AF152" s="15">
        <f>SUM(AF79,AF77,AF75,AF73,AF71,AF69,AF67,AF65,AF63,AF61,AF59,AF57,AF55,AF53,AF51,AF49,AF47,AF45,AF43,AF41,AF39,AF37,AF35,AF33,AF31,AF29,AF27,AF25,AF23,AF21,AF19,AF17,AF15,AF13,AF11,AF9,AF81,AF83,AF85,AF87,AF89,AF91,AF93,AF95,AF97,AF99,AF101,AF103,AF105,AF107,AF109,AF111,AF113,AF115,AF117,AF119,AF121,AF123,AF125,AF127,AF129,AF131,AF133,AF135,AF137,AF139,AF141,AF143,AF145,AF147,AF149,AF151)</f>
        <v>167</v>
      </c>
      <c r="AG152" s="15">
        <f>SUM(AG79,AG77,AG75,AG73,AG71,AG69,AG67,AG65,AG63,AG61,AG59,AG57,AG55,AG53,AG51,AG49,AG47,AG45,AG43,AG41,AG39,AG37,AG35,AG33,AG31,AG29,AG27,AG25,AG23,AG21,AG19,AG17,AG15,AG13,AG11,AG9,AG81,AG83,AG85,AG87,AG89,AG91,AG93,AG95,AG97,AG99,AG101,AG103,AG105,AG107,AG109,AG111,AG113,AG115,AG117,AG119,AG121,AG123,AG125,AG127,AG129,AG131,AG133,AG135,AG137,AG139,AG141,AG143,AG145,AG147,AG149,AG151)</f>
        <v>169</v>
      </c>
      <c r="AH152" s="94">
        <f>SUM(AH79,AH77,AH75,AH73,AH71,AH69,AH67,AH65,AH63,AH61,AH59,AH57,AH55,AH53,AH51,AH49,AH47,AH45,AH43,AH41,AH39,AH37,AH35,AH33,AH31,AH29,AH27,AH25,AH23,AH21,AH19,AH17,AH15,AH13,AH11,AH9,AH81,AH83,AH85,AH87,AH89,AH91,AH93,AH95,AH97,AH99,AH101,AH103,AH105,AH107,AH109,AH111,AH113,AH115,AH117,AH119,AH121,AH123,AH125,AH127,AH129,AH131,AH133,AH135,AH137,AH139,AH141,AH143,AH145,AH147,AH149,AH151)</f>
        <v>171</v>
      </c>
      <c r="AI152" s="15">
        <f>SUM(AI79,AI77,AI75,AI73,AI71,AI69,AI67,AI65,AI63,AI61,AI59,AI57,AI55,AI53,AI51,AI49,AI47,AI45,AI43,AI41,AI39,AI37,AI35,AI33,AI31,AI29,AI27,AI25,AI23,AI21,AI19,AI17,AI15,AI13,AI11,AI9,AI81,AI83,AI85,AI87,AI89,AI91,AI93,AI95,AI97,AI99,AI101,AI103,AI105,AI107,AI109,AI111,AI113,AI115,AI117,AI119,AI121,AI123,AI125,AI127,AI129,AI131,AI133,AI135,AI137,AI139,AI141,AI143,AI145,AI147,AI149,AI151)</f>
        <v>179</v>
      </c>
      <c r="AJ152" s="15">
        <f>SUM(AJ79,AJ77,AJ75,AJ73,AJ71,AJ69,AJ67,AJ65,AJ63,AJ61,AJ59,AJ57,AJ55,AJ53,AJ51,AJ49,AJ47,AJ45,AJ43,AJ41,AJ39,AJ37,AJ35,AJ33,AJ31,AJ29,AJ27,AJ25,AJ23,AJ21,AJ19,AJ17,AJ15,AJ13,AJ11,AJ9,AJ81,AJ83,AJ85,AJ87,AJ89,AJ91,AJ93,AJ95,AJ97,AJ99,AJ101,AJ103,AJ105,AJ107,AJ109,AJ111,AJ113,AJ115,AJ117,AJ119,AJ121,AJ123,AJ125,AJ127,AJ129,AJ131,AJ133,AJ135,AJ137,AJ139,AJ141,AJ143,AJ145,AJ147,AJ149,AJ151)</f>
        <v>187</v>
      </c>
      <c r="AK152" s="15">
        <f>SUM(AK79,AK77,AK75,AK73,AK71,AK69,AK67,AK65,AK63,AK61,AK59,AK57,AK55,AK53,AK51,AK49,AK47,AK45,AK43,AK41,AK39,AK37,AK35,AK33,AK31,AK29,AK27,AK25,AK23,AK21,AK19,AK17,AK15,AK13,AK11,AK9,AK81,AK83,AK85,AK87,AK89,AK91,AK93,AK95,AK97,AK99,AK101,AK103,AK105,AK107,AK109,AK111,AK113,AK115,AK117,AK119,AK121,AK123,AK125,AK127,AK129,AK131,AK133,AK135,AK137,AK139,AK141,AK143,AK145,AK147,AK149,AK151)</f>
        <v>190</v>
      </c>
      <c r="AL152" s="15">
        <f>SUM(AL79,AL77,AL75,AL73,AL71,AL69,AL67,AL65,AL63,AL61,AL59,AL57,AL55,AL53,AL51,AL49,AL47,AL45,AL43,AL41,AL39,AL37,AL35,AL33,AL31,AL29,AL27,AL25,AL23,AL21,AL19,AL17,AL15,AL13,AL11,AL9,AL81,AL83,AL85,AL87,AL89,AL91,AL93,AL95,AL97,AL99,AL101,AL103,AL105,AL107,AL109,AL111,AL113,AL115,AL117,AL119,AL121,AL123,AL125,AL127,AL129,AL131,AL133,AL135,AL137,AL139,AL141,AL143,AL145,AL147,AL149,AL151)</f>
        <v>159</v>
      </c>
      <c r="AM152" s="15">
        <f>SUM(AM79,AM77,AM75,AM73,AM71,AM69,AM67,AM65,AM63,AM61,AM59,AM57,AM55,AM53,AM51,AM49,AM47,AM45,AM43,AM41,AM39,AM37,AM35,AM33,AM31,AM29,AM27,AM25,AM23,AM21,AM19,AM17,AM15,AM13,AM11,AM9,AM81,AM83,AM85,AM87,AM89,AM91,AM93,AM95,AM97,AM99,AM101,AM103,AM105,AM107,AM109,AM111,AM113,AM115,AM117,AM119,AM121,AM123,AM125,AM127,AM129,AM131,AM133,AM135,AM137,AM139,AM141,AM143,AM145,AM147,AM149,AM151)</f>
        <v>167</v>
      </c>
      <c r="AN152" s="15">
        <f>SUM(AN79,AN77,AN75,AN73,AN71,AN69,AN67,AN65,AN63,AN61,AN59,AN57,AN55,AN53,AN51,AN49,AN47,AN45,AN43,AN41,AN39,AN37,AN35,AN33,AN31,AN29,AN27,AN25,AN23,AN21,AN19,AN17,AN15,AN13,AN11,AN9,AN81,AN83,AN85,AN87,AN89,AN91,AN93,AN95,AN97,AN99,AN101,AN103,AN105,AN107,AN109,AN111,AN113,AN115,AN117,AN119,AN121,AN123,AN125,AN127,AN129,AN131,AN133,AN135,AN137,AN139,AN141,AN143,AN145,AN147,AN149,AN151)</f>
        <v>208</v>
      </c>
      <c r="AO152" s="15">
        <f>SUM(AO79,AO77,AO75,AO73,AO71,AO69,AO67,AO65,AO63,AO61,AO59,AO57,AO55,AO53,AO51,AO49,AO47,AO45,AO43,AO41,AO39,AO37,AO35,AO33,AO31,AO29,AO27,AO25,AO23,AO21,AO19,AO17,AO15,AO13,AO11,AO9,AO81,AO83,AO85,AO87,AO89,AO91,AO93,AO95,AO97,AO99,AO101,AO103,AO105,AO107,AO109,AO111,AO113,AO115,AO117,AO119,AO121,AO123,AO125,AO127,AO129,AO131,AO133,AO135,AO137,AO139,AO141,AO143,AO145,AO147,AO149,AO151)</f>
        <v>233</v>
      </c>
      <c r="AP152" s="15">
        <f>SUM(AP79,AP77,AP75,AP73,AP71,AP69,AP67,AP65,AP63,AP61,AP59,AP57,AP55,AP53,AP51,AP49,AP47,AP45,AP43,AP41,AP39,AP37,AP35,AP33,AP31,AP29,AP27,AP25,AP23,AP21,AP19,AP17,AP15,AP13,AP11,AP9,AP81,AP83,AP85,AP87,AP89,AP91,AP93,AP95,AP97,AP99,AP101,AP103,AP105,AP107,AP109,AP111,AP113,AP115,AP117,AP119,AP121,AP123,AP125,AP127,AP129,AP131,AP133,AP135,AP137,AP139,AP141,AP143,AP145,AP147,AP149,AP151)</f>
        <v>237</v>
      </c>
      <c r="AQ152" s="15">
        <f>SUM(AQ79,AQ77,AQ75,AQ73,AQ71,AQ69,AQ67,AQ65,AQ63,AQ61,AQ59,AQ57,AQ55,AQ53,AQ51,AQ49,AQ47,AQ45,AQ43,AQ41,AQ39,AQ37,AQ35,AQ33,AQ31,AQ29,AQ27,AQ25,AQ23,AQ21,AQ19,AQ17,AQ15,AQ13,AQ11,AQ9,AQ81,AQ83,AQ85,AQ87,AQ89,AQ91,AQ93,AQ95,AQ97,AQ99,AQ101,AQ103,AQ105,AQ107,AQ109,AQ111,AQ113,AQ115,AQ117,AQ119,AQ121,AQ123,AQ125,AQ127,AQ129,AQ131,AQ133,AQ135,AQ137,AQ139,AQ141,AQ143,AQ145,AQ147,AQ149,AQ151)</f>
        <v>169</v>
      </c>
      <c r="AR152" s="15">
        <f>SUM(AR79,AR77,AR75,AR73,AR71,AR69,AR67,AR65,AR63,AR61,AR59,AR57,AR55,AR53,AR51,AR49,AR47,AR45,AR43,AR41,AR39,AR37,AR35,AR33,AR31,AR29,AR27,AR25,AR23,AR21,AR19,AR17,AR15,AR13,AR11,AR9,AR81,AR83,AR85,AR87,AR89,AR91,AR93,AR95,AR97,AR99,AR101,AR103,AR105,AR107,AR109,AR111,AR113,AR115,AR117,AR119,AR121,AR123,AR125,AR127,AR129,AR131,AR133,AR135,AR137,AR139,AR141,AR143,AR145,AR147,AR149,AR151)</f>
        <v>170</v>
      </c>
      <c r="AS152" s="15">
        <f>SUM(AS79,AS77,AS75,AS73,AS71,AS69,AS67,AS65,AS63,AS61,AS59,AS57,AS55,AS53,AS51,AS49,AS47,AS45,AS43,AS41,AS39,AS37,AS35,AS33,AS31,AS29,AS27,AS25,AS23,AS21,AS19,AS17,AS15,AS13,AS11,AS9,AS81,AS83,AS85,AS87,AS89,AS91,AS93,AS95,AS97,AS99,AS101,AS103,AS105,AS107,AS109,AS111,AS113,AS115,AS117,AS119,AS121,AS123,AS125,AS127,AS129,AS131,AS133,AS135,AS137,AS139,AS141,AS143,AS145,AS147,AS149,AS151)</f>
        <v>227</v>
      </c>
      <c r="AT152" s="30">
        <f>SUM(AT79,AT77,AT75,AT73,AT71,AT69,AT67,AT65,AT63,AT61,AT59,AT57,AT55,AT53,AT51,AT49,AT47,AT45,AT43,AT41,AT39,AT37,AT35,AT33,AT31,AT29,AT27,AT25,AT23,AT21,AT19,AT17,AT15,AT13,AT11,AT9,AT81,AT83,AT85,AT87,AT89,AT91,AT93,AT95,AT97,AT99,AT101,AT103,AT105,AT107,AT109,AT111,AT113,AT115,AT117,AT119,AT121,AT123,AT125,AT127,AT129,AT131,AT133,AT135,AT137,AT139,AT141,AT143,AT145,AT147,AT149,AT151)</f>
        <v>231</v>
      </c>
    </row>
    <row r="153" spans="1:46" ht="33" customHeight="1" thickBot="1" x14ac:dyDescent="0.35">
      <c r="F153" s="137" t="s">
        <v>14</v>
      </c>
      <c r="G153" s="137"/>
      <c r="H153" s="137"/>
      <c r="I153" s="137"/>
      <c r="J153" s="31">
        <f>SUM(J154:J157)</f>
        <v>40</v>
      </c>
      <c r="K153" s="32">
        <f>SUM(K154:K157)</f>
        <v>19</v>
      </c>
      <c r="L153" s="32">
        <f>SUM(L154:L157)</f>
        <v>55</v>
      </c>
      <c r="M153" s="32">
        <f>SUM(M154:M157)</f>
        <v>34</v>
      </c>
      <c r="N153" s="32">
        <f>SUM(N154:N157)</f>
        <v>32</v>
      </c>
      <c r="O153" s="32">
        <f>SUM(O154:O157)</f>
        <v>14</v>
      </c>
      <c r="P153" s="32">
        <f>SUM(P154:P157)</f>
        <v>8</v>
      </c>
      <c r="Q153" s="32">
        <f>SUM(Q154:Q157)</f>
        <v>28</v>
      </c>
      <c r="R153" s="32">
        <f>SUM(R154:R157)</f>
        <v>23</v>
      </c>
      <c r="S153" s="32">
        <f>SUM(S154:S157)</f>
        <v>23</v>
      </c>
      <c r="T153" s="32">
        <f>SUM(T154:T157)</f>
        <v>5</v>
      </c>
      <c r="U153" s="32">
        <f>SUM(U154:U157)</f>
        <v>47</v>
      </c>
      <c r="V153" s="32">
        <f>SUM(V154:V157)</f>
        <v>32</v>
      </c>
      <c r="W153" s="32">
        <f>SUM(W154:W157)</f>
        <v>0</v>
      </c>
      <c r="X153" s="32">
        <f>SUM(X154:X157)</f>
        <v>24</v>
      </c>
      <c r="Y153" s="32">
        <f>SUM(Y154:Y157)</f>
        <v>26</v>
      </c>
      <c r="Z153" s="32">
        <f>SUM(Z154:Z157)</f>
        <v>19</v>
      </c>
      <c r="AA153" s="32">
        <f>SUM(AA154:AA157)</f>
        <v>15</v>
      </c>
      <c r="AB153" s="32">
        <f>SUM(AB154:AB157)</f>
        <v>46</v>
      </c>
      <c r="AC153" s="32">
        <f>SUM(AC154:AC157)</f>
        <v>37</v>
      </c>
      <c r="AD153" s="32">
        <f>SUM(AD154:AD157)</f>
        <v>26</v>
      </c>
      <c r="AE153" s="32">
        <f>SUM(AE154:AE157)</f>
        <v>0</v>
      </c>
      <c r="AF153" s="32">
        <f>SUM(AF154:AF157)</f>
        <v>42</v>
      </c>
      <c r="AG153" s="32">
        <f>SUM(AG154:AG157)</f>
        <v>40</v>
      </c>
      <c r="AH153" s="32">
        <f>SUM(AH154:AH157)</f>
        <v>38</v>
      </c>
      <c r="AI153" s="32">
        <f>SUM(AI154:AI157)</f>
        <v>30</v>
      </c>
      <c r="AJ153" s="32">
        <f>SUM(AJ154:AJ157)</f>
        <v>22</v>
      </c>
      <c r="AK153" s="32">
        <f>SUM(AK154:AK157)</f>
        <v>19</v>
      </c>
      <c r="AL153" s="32">
        <f>SUM(AL154:AL157)</f>
        <v>50</v>
      </c>
      <c r="AM153" s="32">
        <f>SUM(AM154:AM157)</f>
        <v>42</v>
      </c>
      <c r="AN153" s="32">
        <f>SUM(AN154:AN157)</f>
        <v>1</v>
      </c>
      <c r="AO153" s="32">
        <f>SUM(AO154:AO157)</f>
        <v>0</v>
      </c>
      <c r="AP153" s="32">
        <f>SUM(AP154:AP157)</f>
        <v>0</v>
      </c>
      <c r="AQ153" s="32">
        <f>SUM(AQ154:AQ157)</f>
        <v>40</v>
      </c>
      <c r="AR153" s="32">
        <f>SUM(AR154:AR157)</f>
        <v>39</v>
      </c>
      <c r="AS153" s="32">
        <f>SUM(AS154:AS157)</f>
        <v>0</v>
      </c>
      <c r="AT153" s="33">
        <f>SUM(AT154:AT157)</f>
        <v>0</v>
      </c>
    </row>
    <row r="154" spans="1:46" ht="18.600000000000001" thickTop="1" x14ac:dyDescent="0.3">
      <c r="F154" s="57"/>
      <c r="G154" s="3"/>
      <c r="H154" s="3"/>
      <c r="I154" s="3"/>
      <c r="J154" s="4">
        <f>IF(J152=$I$152,100,IF($I$152-J152=1,99,IF($I$152-J152=-1,99,IF($I$152-J152=2,98,IF($I$152-J152=-2,98,IF($I$152-J152=3,97,IF($I$152-J152=-3,97,IF($I$152-J152=4,96,IF($I$152-J152=-4,96,IF($I$152-J152=5,95,IF($I$152-J152=-5,95,IF($I$152-J152=6,94,IF($I$152-J152=-6,94,IF($I$152-J152=7,93,IF($I$152-J152=-7,93,IF($I$152-J152=8,92,IF($I$152-J152=-8,92,IF($I$152-J152=9,91,IF($I$152-J152=-9,91,IF($I$152-J152=10,90,IF($I$152-J152=-10,90,IF($I$152-J152=11,89,IF($I$152-J152=-11,89,IF($I$152-J152=12,88,IF($I$152-J152=-12,88,IF($I$152-J152=13,87,IF($I$152-J152=-13,87,IF($I$152-J152=14,86,IF($I$152-J152=-14,86,IF($I$152-J152=15,85,IF($I$152-J152=-15,85,IF($I$152-J152=16,84,IF($I$152-J152=-16,84,IF($I$152-J152=17,83,IF($I$152-J152=-17,83,IF($I$152-J152=18,82,IF($I$152-J152=-18,82,IF($I$152-J152=19,81,IF($I$152-J152=-19,81,IF($I$152-J152=20,80,IF($I$152-J152=-20,80,IF($I$152-J152=21,79,IF($I$152-J152=-21,79,IF($I$152-J152=22,78,IF($I$152-J152=-22,78,IF($I$152-J152=23,77,IF($I$152-J152=-23,77,IF($I$152-J152=24,76,IF($I$152-J152=-24,76,IF($I$152-J152=25,75,IF($I$152-J152=-25,75,IF($I$152-J152=26,74,IF($I$152-J152=-26,74,IF($I$152-J152=27,73,IF($I$152-J152=-27,73,IF($I$152-J152=28,72,IF($I$152-J152=-28,72,IF($I$152-J152=29,71,IF($I$152-J152=-29,71,IF($I$152-J152=30,70,IF($I$152-J152=-30,70,IF($I$152-J152=31,69,IF($I$152-J152=-31,69,IF($I$152-J152=32,68,IF($I$152-J152=-32,68,0)))))))))))))))))))))))))))))))))))))))))))))))))))))))))))))))))</f>
        <v>0</v>
      </c>
      <c r="K154" s="4">
        <f t="shared" ref="K154:AL154" si="45">IF(K152=$I$152,100,IF($I$152-K152=1,99,IF($I$152-K152=-1,99,IF($I$152-K152=2,98,IF($I$152-K152=-2,98,IF($I$152-K152=3,97,IF($I$152-K152=-3,97,IF($I$152-K152=4,96,IF($I$152-K152=-4,96,IF($I$152-K152=5,95,IF($I$152-K152=-5,95,IF($I$152-K152=6,94,IF($I$152-K152=-6,94,IF($I$152-K152=7,93,IF($I$152-K152=-7,93,IF($I$152-K152=8,92,IF($I$152-K152=-8,92,IF($I$152-K152=9,91,IF($I$152-K152=-9,91,IF($I$152-K152=10,90,IF($I$152-K152=-10,90,IF($I$152-K152=11,89,IF($I$152-K152=-11,89,IF($I$152-K152=12,88,IF($I$152-K152=-12,88,IF($I$152-K152=13,87,IF($I$152-K152=-13,87,IF($I$152-K152=14,86,IF($I$152-K152=-14,86,IF($I$152-K152=15,85,IF($I$152-K152=-15,85,IF($I$152-K152=16,84,IF($I$152-K152=-16,84,IF($I$152-K152=17,83,IF($I$152-K152=-17,83,IF($I$152-K152=18,82,IF($I$152-K152=-18,82,IF($I$152-K152=19,81,IF($I$152-K152=-19,81,IF($I$152-K152=20,80,IF($I$152-K152=-20,80,IF($I$152-K152=21,79,IF($I$152-K152=-21,79,IF($I$152-K152=22,78,IF($I$152-K152=-22,78,IF($I$152-K152=23,77,IF($I$152-K152=-23,77,IF($I$152-K152=24,76,IF($I$152-K152=-24,76,IF($I$152-K152=25,75,IF($I$152-K152=-25,75,IF($I$152-K152=26,74,IF($I$152-K152=-26,74,IF($I$152-K152=27,73,IF($I$152-K152=-27,73,IF($I$152-K152=28,72,IF($I$152-K152=-28,72,IF($I$152-K152=29,71,IF($I$152-K152=-29,71,IF($I$152-K152=30,70,IF($I$152-K152=-30,70,IF($I$152-K152=31,69,IF($I$152-K152=-31,69,IF($I$152-K152=32,68,IF($I$152-K152=-32,68,0)))))))))))))))))))))))))))))))))))))))))))))))))))))))))))))))))</f>
        <v>0</v>
      </c>
      <c r="L154" s="4">
        <f t="shared" si="45"/>
        <v>0</v>
      </c>
      <c r="M154" s="4">
        <f t="shared" si="45"/>
        <v>0</v>
      </c>
      <c r="N154" s="4">
        <f t="shared" si="45"/>
        <v>0</v>
      </c>
      <c r="O154" s="4">
        <f t="shared" si="45"/>
        <v>0</v>
      </c>
      <c r="P154" s="4">
        <f t="shared" si="45"/>
        <v>0</v>
      </c>
      <c r="Q154" s="4">
        <f t="shared" si="45"/>
        <v>0</v>
      </c>
      <c r="R154" s="4">
        <f t="shared" si="45"/>
        <v>0</v>
      </c>
      <c r="S154" s="4">
        <f t="shared" si="45"/>
        <v>0</v>
      </c>
      <c r="T154" s="4">
        <f t="shared" si="45"/>
        <v>0</v>
      </c>
      <c r="U154" s="4">
        <f t="shared" si="45"/>
        <v>0</v>
      </c>
      <c r="V154" s="4">
        <f t="shared" ref="V154:X154" si="46">IF(V152=$I$152,100,IF($I$152-V152=1,99,IF($I$152-V152=-1,99,IF($I$152-V152=2,98,IF($I$152-V152=-2,98,IF($I$152-V152=3,97,IF($I$152-V152=-3,97,IF($I$152-V152=4,96,IF($I$152-V152=-4,96,IF($I$152-V152=5,95,IF($I$152-V152=-5,95,IF($I$152-V152=6,94,IF($I$152-V152=-6,94,IF($I$152-V152=7,93,IF($I$152-V152=-7,93,IF($I$152-V152=8,92,IF($I$152-V152=-8,92,IF($I$152-V152=9,91,IF($I$152-V152=-9,91,IF($I$152-V152=10,90,IF($I$152-V152=-10,90,IF($I$152-V152=11,89,IF($I$152-V152=-11,89,IF($I$152-V152=12,88,IF($I$152-V152=-12,88,IF($I$152-V152=13,87,IF($I$152-V152=-13,87,IF($I$152-V152=14,86,IF($I$152-V152=-14,86,IF($I$152-V152=15,85,IF($I$152-V152=-15,85,IF($I$152-V152=16,84,IF($I$152-V152=-16,84,IF($I$152-V152=17,83,IF($I$152-V152=-17,83,IF($I$152-V152=18,82,IF($I$152-V152=-18,82,IF($I$152-V152=19,81,IF($I$152-V152=-19,81,IF($I$152-V152=20,80,IF($I$152-V152=-20,80,IF($I$152-V152=21,79,IF($I$152-V152=-21,79,IF($I$152-V152=22,78,IF($I$152-V152=-22,78,IF($I$152-V152=23,77,IF($I$152-V152=-23,77,IF($I$152-V152=24,76,IF($I$152-V152=-24,76,IF($I$152-V152=25,75,IF($I$152-V152=-25,75,IF($I$152-V152=26,74,IF($I$152-V152=-26,74,IF($I$152-V152=27,73,IF($I$152-V152=-27,73,IF($I$152-V152=28,72,IF($I$152-V152=-28,72,IF($I$152-V152=29,71,IF($I$152-V152=-29,71,IF($I$152-V152=30,70,IF($I$152-V152=-30,70,IF($I$152-V152=31,69,IF($I$152-V152=-31,69,IF($I$152-V152=32,68,IF($I$152-V152=-32,68,0)))))))))))))))))))))))))))))))))))))))))))))))))))))))))))))))))</f>
        <v>0</v>
      </c>
      <c r="W154" s="4">
        <f t="shared" si="46"/>
        <v>0</v>
      </c>
      <c r="X154" s="4">
        <f t="shared" si="46"/>
        <v>0</v>
      </c>
      <c r="Y154" s="4">
        <f t="shared" si="45"/>
        <v>0</v>
      </c>
      <c r="Z154" s="4">
        <f t="shared" si="45"/>
        <v>0</v>
      </c>
      <c r="AA154" s="4">
        <f t="shared" si="45"/>
        <v>0</v>
      </c>
      <c r="AB154" s="4">
        <f t="shared" si="45"/>
        <v>0</v>
      </c>
      <c r="AC154" s="4">
        <f t="shared" si="45"/>
        <v>0</v>
      </c>
      <c r="AD154" s="4">
        <f t="shared" si="45"/>
        <v>0</v>
      </c>
      <c r="AE154" s="4">
        <f t="shared" si="45"/>
        <v>0</v>
      </c>
      <c r="AF154" s="4">
        <f t="shared" si="45"/>
        <v>0</v>
      </c>
      <c r="AG154" s="4">
        <f t="shared" si="45"/>
        <v>0</v>
      </c>
      <c r="AH154" s="4">
        <f t="shared" si="45"/>
        <v>0</v>
      </c>
      <c r="AI154" s="4">
        <f t="shared" si="45"/>
        <v>0</v>
      </c>
      <c r="AJ154" s="4">
        <f t="shared" si="45"/>
        <v>0</v>
      </c>
      <c r="AK154" s="4">
        <f t="shared" si="45"/>
        <v>0</v>
      </c>
      <c r="AL154" s="4">
        <f t="shared" si="45"/>
        <v>0</v>
      </c>
      <c r="AM154" s="4">
        <f t="shared" ref="AM154:AP154" si="47">IF(AM152=$I$152,100,IF($I$152-AM152=1,99,IF($I$152-AM152=-1,99,IF($I$152-AM152=2,98,IF($I$152-AM152=-2,98,IF($I$152-AM152=3,97,IF($I$152-AM152=-3,97,IF($I$152-AM152=4,96,IF($I$152-AM152=-4,96,IF($I$152-AM152=5,95,IF($I$152-AM152=-5,95,IF($I$152-AM152=6,94,IF($I$152-AM152=-6,94,IF($I$152-AM152=7,93,IF($I$152-AM152=-7,93,IF($I$152-AM152=8,92,IF($I$152-AM152=-8,92,IF($I$152-AM152=9,91,IF($I$152-AM152=-9,91,IF($I$152-AM152=10,90,IF($I$152-AM152=-10,90,IF($I$152-AM152=11,89,IF($I$152-AM152=-11,89,IF($I$152-AM152=12,88,IF($I$152-AM152=-12,88,IF($I$152-AM152=13,87,IF($I$152-AM152=-13,87,IF($I$152-AM152=14,86,IF($I$152-AM152=-14,86,IF($I$152-AM152=15,85,IF($I$152-AM152=-15,85,IF($I$152-AM152=16,84,IF($I$152-AM152=-16,84,IF($I$152-AM152=17,83,IF($I$152-AM152=-17,83,IF($I$152-AM152=18,82,IF($I$152-AM152=-18,82,IF($I$152-AM152=19,81,IF($I$152-AM152=-19,81,IF($I$152-AM152=20,80,IF($I$152-AM152=-20,80,IF($I$152-AM152=21,79,IF($I$152-AM152=-21,79,IF($I$152-AM152=22,78,IF($I$152-AM152=-22,78,IF($I$152-AM152=23,77,IF($I$152-AM152=-23,77,IF($I$152-AM152=24,76,IF($I$152-AM152=-24,76,IF($I$152-AM152=25,75,IF($I$152-AM152=-25,75,IF($I$152-AM152=26,74,IF($I$152-AM152=-26,74,IF($I$152-AM152=27,73,IF($I$152-AM152=-27,73,IF($I$152-AM152=28,72,IF($I$152-AM152=-28,72,IF($I$152-AM152=29,71,IF($I$152-AM152=-29,71,IF($I$152-AM152=30,70,IF($I$152-AM152=-30,70,IF($I$152-AM152=31,69,IF($I$152-AM152=-31,69,IF($I$152-AM152=32,68,IF($I$152-AM152=-32,68,0)))))))))))))))))))))))))))))))))))))))))))))))))))))))))))))))))</f>
        <v>0</v>
      </c>
      <c r="AN154" s="4">
        <f t="shared" si="47"/>
        <v>0</v>
      </c>
      <c r="AO154" s="4">
        <f t="shared" si="47"/>
        <v>0</v>
      </c>
      <c r="AP154" s="4">
        <f t="shared" si="47"/>
        <v>0</v>
      </c>
      <c r="AQ154" s="4">
        <f t="shared" ref="AQ154:AT154" si="48">IF(AQ152=$I$152,100,IF($I$152-AQ152=1,99,IF($I$152-AQ152=-1,99,IF($I$152-AQ152=2,98,IF($I$152-AQ152=-2,98,IF($I$152-AQ152=3,97,IF($I$152-AQ152=-3,97,IF($I$152-AQ152=4,96,IF($I$152-AQ152=-4,96,IF($I$152-AQ152=5,95,IF($I$152-AQ152=-5,95,IF($I$152-AQ152=6,94,IF($I$152-AQ152=-6,94,IF($I$152-AQ152=7,93,IF($I$152-AQ152=-7,93,IF($I$152-AQ152=8,92,IF($I$152-AQ152=-8,92,IF($I$152-AQ152=9,91,IF($I$152-AQ152=-9,91,IF($I$152-AQ152=10,90,IF($I$152-AQ152=-10,90,IF($I$152-AQ152=11,89,IF($I$152-AQ152=-11,89,IF($I$152-AQ152=12,88,IF($I$152-AQ152=-12,88,IF($I$152-AQ152=13,87,IF($I$152-AQ152=-13,87,IF($I$152-AQ152=14,86,IF($I$152-AQ152=-14,86,IF($I$152-AQ152=15,85,IF($I$152-AQ152=-15,85,IF($I$152-AQ152=16,84,IF($I$152-AQ152=-16,84,IF($I$152-AQ152=17,83,IF($I$152-AQ152=-17,83,IF($I$152-AQ152=18,82,IF($I$152-AQ152=-18,82,IF($I$152-AQ152=19,81,IF($I$152-AQ152=-19,81,IF($I$152-AQ152=20,80,IF($I$152-AQ152=-20,80,IF($I$152-AQ152=21,79,IF($I$152-AQ152=-21,79,IF($I$152-AQ152=22,78,IF($I$152-AQ152=-22,78,IF($I$152-AQ152=23,77,IF($I$152-AQ152=-23,77,IF($I$152-AQ152=24,76,IF($I$152-AQ152=-24,76,IF($I$152-AQ152=25,75,IF($I$152-AQ152=-25,75,IF($I$152-AQ152=26,74,IF($I$152-AQ152=-26,74,IF($I$152-AQ152=27,73,IF($I$152-AQ152=-27,73,IF($I$152-AQ152=28,72,IF($I$152-AQ152=-28,72,IF($I$152-AQ152=29,71,IF($I$152-AQ152=-29,71,IF($I$152-AQ152=30,70,IF($I$152-AQ152=-30,70,IF($I$152-AQ152=31,69,IF($I$152-AQ152=-31,69,IF($I$152-AQ152=32,68,IF($I$152-AQ152=-32,68,0)))))))))))))))))))))))))))))))))))))))))))))))))))))))))))))))))</f>
        <v>0</v>
      </c>
      <c r="AR154" s="4">
        <f t="shared" si="48"/>
        <v>0</v>
      </c>
      <c r="AS154" s="4">
        <f t="shared" si="48"/>
        <v>0</v>
      </c>
      <c r="AT154" s="4">
        <f t="shared" si="48"/>
        <v>0</v>
      </c>
    </row>
    <row r="155" spans="1:46" x14ac:dyDescent="0.3">
      <c r="F155" s="57"/>
      <c r="G155" s="3"/>
      <c r="H155" s="3"/>
      <c r="I155" s="3"/>
      <c r="J155" s="4">
        <f>IF($I$152-J152=33,67,IF($I$152-J152=-33,67,IF($I$152-J152=34,66,IF($I$152-J152=-34,66,IF($I$152-J152=35,65,IF($I$152-J152=-35,65,IF($I$152-J152=36,64,IF($I$152-J152=-36,64,IF($I$152-J152=37,63,IF($I$152-J152=-37,63,IF($I$152-J152=38,62,IF($I$152-J152=-38,62,IF($I$152-J152=39,61,IF($I$152-J152=-39,61,IF($I$152-J152=40,60,IF($I$152-J152=-40,60,IF($I$152-J152=41,59,IF($I$152-J152=-41,59,IF($I$152-J152=42,58,IF($I$152-J152=-42,58,IF($I$152-J152=43,57,IF($I$152-J152=-43,57,IF($I$152-J152=44,56,IF($I$152-J152=-44,56,IF($I$152-J152=45,55,IF($I$152-J152=-45,55,IF($I$152-J152=46,54,IF($I$152-J152=-46,54,IF($I$152-J152=47,53,IF($I$152-J152=-47,53,IF($I$152-J152=48,52,IF($I$152-J152=-48,52,IF($I$152-J152=49,51,IF($I$152-J152=-49,51,IF($I$152-J152=50,50,IF($I$152-J152=-50,50,IF($I$152-J152=51,49,IF($I$152-J152=-51,49,IF($I$152-J152=52,48,IF($I$152-J152=-52,48,IF($I$152-J152=53,47,IF($I$152-J152=-53,47,IF($I$152-J152=54,46,IF($I$152-J152=-54,46,IF($I$152-J152=55,45,IF($I$152-J152=-55,45,IF($I$152-J152=56,44,IF($I$152-J152=-56,44,IF($I$152-J152=57,43,IF($I$152-J152=-57,43,IF($I$152-J152=58,42,IF($I$152-J152=-58,42,IF($I$152-J152=59,41,IF($I$152-J152=-59,41,IF($I$152-J152=60,40,IF($I$152-J152=-60,40,IF($I$152-J152=61,39,IF($I$152-J152=-61,39,IF($I$152-J152=62,38,IF($I$152-J152=-62,38,IF($I$152-J152=63,37,IF($I$152-J152=-63,37,IF($I$152-J152=64,36,IF($I$152-J152=-64,36,IF($I$152-J152=65,35,0)))))))))))))))))))))))))))))))))))))))))))))))))))))))))))))))))</f>
        <v>40</v>
      </c>
      <c r="K155" s="4">
        <f t="shared" ref="K155:AL155" si="49">IF($I$152-K152=33,67,IF($I$152-K152=-33,67,IF($I$152-K152=34,66,IF($I$152-K152=-34,66,IF($I$152-K152=35,65,IF($I$152-K152=-35,65,IF($I$152-K152=36,64,IF($I$152-K152=-36,64,IF($I$152-K152=37,63,IF($I$152-K152=-37,63,IF($I$152-K152=38,62,IF($I$152-K152=-38,62,IF($I$152-K152=39,61,IF($I$152-K152=-39,61,IF($I$152-K152=40,60,IF($I$152-K152=-40,60,IF($I$152-K152=41,59,IF($I$152-K152=-41,59,IF($I$152-K152=42,58,IF($I$152-K152=-42,58,IF($I$152-K152=43,57,IF($I$152-K152=-43,57,IF($I$152-K152=44,56,IF($I$152-K152=-44,56,IF($I$152-K152=45,55,IF($I$152-K152=-45,55,IF($I$152-K152=46,54,IF($I$152-K152=-46,54,IF($I$152-K152=47,53,IF($I$152-K152=-47,53,IF($I$152-K152=48,52,IF($I$152-K152=-48,52,IF($I$152-K152=49,51,IF($I$152-K152=-49,51,IF($I$152-K152=50,50,IF($I$152-K152=-50,50,IF($I$152-K152=51,49,IF($I$152-K152=-51,49,IF($I$152-K152=52,48,IF($I$152-K152=-52,48,IF($I$152-K152=53,47,IF($I$152-K152=-53,47,IF($I$152-K152=54,46,IF($I$152-K152=-54,46,IF($I$152-K152=55,45,IF($I$152-K152=-55,45,IF($I$152-K152=56,44,IF($I$152-K152=-56,44,IF($I$152-K152=57,43,IF($I$152-K152=-57,43,IF($I$152-K152=58,42,IF($I$152-K152=-58,42,IF($I$152-K152=59,41,IF($I$152-K152=-59,41,IF($I$152-K152=60,40,IF($I$152-K152=-60,40,IF($I$152-K152=61,39,IF($I$152-K152=-61,39,IF($I$152-K152=62,38,IF($I$152-K152=-62,38,IF($I$152-K152=63,37,IF($I$152-K152=-63,37,IF($I$152-K152=64,36,IF($I$152-K152=-64,36,IF($I$152-K152=65,35,0)))))))))))))))))))))))))))))))))))))))))))))))))))))))))))))))))</f>
        <v>0</v>
      </c>
      <c r="L155" s="4">
        <f t="shared" si="49"/>
        <v>55</v>
      </c>
      <c r="M155" s="4">
        <f t="shared" si="49"/>
        <v>0</v>
      </c>
      <c r="N155" s="4">
        <f t="shared" si="49"/>
        <v>0</v>
      </c>
      <c r="O155" s="4">
        <f t="shared" si="49"/>
        <v>0</v>
      </c>
      <c r="P155" s="4">
        <f t="shared" si="49"/>
        <v>0</v>
      </c>
      <c r="Q155" s="4">
        <f t="shared" si="49"/>
        <v>0</v>
      </c>
      <c r="R155" s="4">
        <f t="shared" si="49"/>
        <v>0</v>
      </c>
      <c r="S155" s="4">
        <f t="shared" si="49"/>
        <v>0</v>
      </c>
      <c r="T155" s="4">
        <f t="shared" si="49"/>
        <v>0</v>
      </c>
      <c r="U155" s="4">
        <f t="shared" si="49"/>
        <v>47</v>
      </c>
      <c r="V155" s="4">
        <f t="shared" ref="V155:X155" si="50">IF($I$152-V152=33,67,IF($I$152-V152=-33,67,IF($I$152-V152=34,66,IF($I$152-V152=-34,66,IF($I$152-V152=35,65,IF($I$152-V152=-35,65,IF($I$152-V152=36,64,IF($I$152-V152=-36,64,IF($I$152-V152=37,63,IF($I$152-V152=-37,63,IF($I$152-V152=38,62,IF($I$152-V152=-38,62,IF($I$152-V152=39,61,IF($I$152-V152=-39,61,IF($I$152-V152=40,60,IF($I$152-V152=-40,60,IF($I$152-V152=41,59,IF($I$152-V152=-41,59,IF($I$152-V152=42,58,IF($I$152-V152=-42,58,IF($I$152-V152=43,57,IF($I$152-V152=-43,57,IF($I$152-V152=44,56,IF($I$152-V152=-44,56,IF($I$152-V152=45,55,IF($I$152-V152=-45,55,IF($I$152-V152=46,54,IF($I$152-V152=-46,54,IF($I$152-V152=47,53,IF($I$152-V152=-47,53,IF($I$152-V152=48,52,IF($I$152-V152=-48,52,IF($I$152-V152=49,51,IF($I$152-V152=-49,51,IF($I$152-V152=50,50,IF($I$152-V152=-50,50,IF($I$152-V152=51,49,IF($I$152-V152=-51,49,IF($I$152-V152=52,48,IF($I$152-V152=-52,48,IF($I$152-V152=53,47,IF($I$152-V152=-53,47,IF($I$152-V152=54,46,IF($I$152-V152=-54,46,IF($I$152-V152=55,45,IF($I$152-V152=-55,45,IF($I$152-V152=56,44,IF($I$152-V152=-56,44,IF($I$152-V152=57,43,IF($I$152-V152=-57,43,IF($I$152-V152=58,42,IF($I$152-V152=-58,42,IF($I$152-V152=59,41,IF($I$152-V152=-59,41,IF($I$152-V152=60,40,IF($I$152-V152=-60,40,IF($I$152-V152=61,39,IF($I$152-V152=-61,39,IF($I$152-V152=62,38,IF($I$152-V152=-62,38,IF($I$152-V152=63,37,IF($I$152-V152=-63,37,IF($I$152-V152=64,36,IF($I$152-V152=-64,36,IF($I$152-V152=65,35,0)))))))))))))))))))))))))))))))))))))))))))))))))))))))))))))))))</f>
        <v>0</v>
      </c>
      <c r="W155" s="4">
        <f t="shared" si="50"/>
        <v>0</v>
      </c>
      <c r="X155" s="4">
        <f t="shared" si="50"/>
        <v>0</v>
      </c>
      <c r="Y155" s="4">
        <f t="shared" si="49"/>
        <v>0</v>
      </c>
      <c r="Z155" s="4">
        <f t="shared" si="49"/>
        <v>0</v>
      </c>
      <c r="AA155" s="4">
        <f t="shared" si="49"/>
        <v>0</v>
      </c>
      <c r="AB155" s="4">
        <f t="shared" si="49"/>
        <v>46</v>
      </c>
      <c r="AC155" s="4">
        <f t="shared" si="49"/>
        <v>37</v>
      </c>
      <c r="AD155" s="4">
        <f t="shared" si="49"/>
        <v>0</v>
      </c>
      <c r="AE155" s="4">
        <f t="shared" si="49"/>
        <v>0</v>
      </c>
      <c r="AF155" s="4">
        <f t="shared" si="49"/>
        <v>42</v>
      </c>
      <c r="AG155" s="4">
        <f t="shared" si="49"/>
        <v>40</v>
      </c>
      <c r="AH155" s="4">
        <f t="shared" si="49"/>
        <v>38</v>
      </c>
      <c r="AI155" s="4">
        <f t="shared" si="49"/>
        <v>0</v>
      </c>
      <c r="AJ155" s="4">
        <f t="shared" si="49"/>
        <v>0</v>
      </c>
      <c r="AK155" s="4">
        <f t="shared" si="49"/>
        <v>0</v>
      </c>
      <c r="AL155" s="4">
        <f t="shared" si="49"/>
        <v>50</v>
      </c>
      <c r="AM155" s="4">
        <f t="shared" ref="AM155:AP155" si="51">IF($I$152-AM152=33,67,IF($I$152-AM152=-33,67,IF($I$152-AM152=34,66,IF($I$152-AM152=-34,66,IF($I$152-AM152=35,65,IF($I$152-AM152=-35,65,IF($I$152-AM152=36,64,IF($I$152-AM152=-36,64,IF($I$152-AM152=37,63,IF($I$152-AM152=-37,63,IF($I$152-AM152=38,62,IF($I$152-AM152=-38,62,IF($I$152-AM152=39,61,IF($I$152-AM152=-39,61,IF($I$152-AM152=40,60,IF($I$152-AM152=-40,60,IF($I$152-AM152=41,59,IF($I$152-AM152=-41,59,IF($I$152-AM152=42,58,IF($I$152-AM152=-42,58,IF($I$152-AM152=43,57,IF($I$152-AM152=-43,57,IF($I$152-AM152=44,56,IF($I$152-AM152=-44,56,IF($I$152-AM152=45,55,IF($I$152-AM152=-45,55,IF($I$152-AM152=46,54,IF($I$152-AM152=-46,54,IF($I$152-AM152=47,53,IF($I$152-AM152=-47,53,IF($I$152-AM152=48,52,IF($I$152-AM152=-48,52,IF($I$152-AM152=49,51,IF($I$152-AM152=-49,51,IF($I$152-AM152=50,50,IF($I$152-AM152=-50,50,IF($I$152-AM152=51,49,IF($I$152-AM152=-51,49,IF($I$152-AM152=52,48,IF($I$152-AM152=-52,48,IF($I$152-AM152=53,47,IF($I$152-AM152=-53,47,IF($I$152-AM152=54,46,IF($I$152-AM152=-54,46,IF($I$152-AM152=55,45,IF($I$152-AM152=-55,45,IF($I$152-AM152=56,44,IF($I$152-AM152=-56,44,IF($I$152-AM152=57,43,IF($I$152-AM152=-57,43,IF($I$152-AM152=58,42,IF($I$152-AM152=-58,42,IF($I$152-AM152=59,41,IF($I$152-AM152=-59,41,IF($I$152-AM152=60,40,IF($I$152-AM152=-60,40,IF($I$152-AM152=61,39,IF($I$152-AM152=-61,39,IF($I$152-AM152=62,38,IF($I$152-AM152=-62,38,IF($I$152-AM152=63,37,IF($I$152-AM152=-63,37,IF($I$152-AM152=64,36,IF($I$152-AM152=-64,36,IF($I$152-AM152=65,35,0)))))))))))))))))))))))))))))))))))))))))))))))))))))))))))))))))</f>
        <v>42</v>
      </c>
      <c r="AN155" s="4">
        <f t="shared" si="51"/>
        <v>0</v>
      </c>
      <c r="AO155" s="4">
        <f t="shared" si="51"/>
        <v>0</v>
      </c>
      <c r="AP155" s="4">
        <f t="shared" si="51"/>
        <v>0</v>
      </c>
      <c r="AQ155" s="4">
        <f t="shared" ref="AQ155:AT155" si="52">IF($I$152-AQ152=33,67,IF($I$152-AQ152=-33,67,IF($I$152-AQ152=34,66,IF($I$152-AQ152=-34,66,IF($I$152-AQ152=35,65,IF($I$152-AQ152=-35,65,IF($I$152-AQ152=36,64,IF($I$152-AQ152=-36,64,IF($I$152-AQ152=37,63,IF($I$152-AQ152=-37,63,IF($I$152-AQ152=38,62,IF($I$152-AQ152=-38,62,IF($I$152-AQ152=39,61,IF($I$152-AQ152=-39,61,IF($I$152-AQ152=40,60,IF($I$152-AQ152=-40,60,IF($I$152-AQ152=41,59,IF($I$152-AQ152=-41,59,IF($I$152-AQ152=42,58,IF($I$152-AQ152=-42,58,IF($I$152-AQ152=43,57,IF($I$152-AQ152=-43,57,IF($I$152-AQ152=44,56,IF($I$152-AQ152=-44,56,IF($I$152-AQ152=45,55,IF($I$152-AQ152=-45,55,IF($I$152-AQ152=46,54,IF($I$152-AQ152=-46,54,IF($I$152-AQ152=47,53,IF($I$152-AQ152=-47,53,IF($I$152-AQ152=48,52,IF($I$152-AQ152=-48,52,IF($I$152-AQ152=49,51,IF($I$152-AQ152=-49,51,IF($I$152-AQ152=50,50,IF($I$152-AQ152=-50,50,IF($I$152-AQ152=51,49,IF($I$152-AQ152=-51,49,IF($I$152-AQ152=52,48,IF($I$152-AQ152=-52,48,IF($I$152-AQ152=53,47,IF($I$152-AQ152=-53,47,IF($I$152-AQ152=54,46,IF($I$152-AQ152=-54,46,IF($I$152-AQ152=55,45,IF($I$152-AQ152=-55,45,IF($I$152-AQ152=56,44,IF($I$152-AQ152=-56,44,IF($I$152-AQ152=57,43,IF($I$152-AQ152=-57,43,IF($I$152-AQ152=58,42,IF($I$152-AQ152=-58,42,IF($I$152-AQ152=59,41,IF($I$152-AQ152=-59,41,IF($I$152-AQ152=60,40,IF($I$152-AQ152=-60,40,IF($I$152-AQ152=61,39,IF($I$152-AQ152=-61,39,IF($I$152-AQ152=62,38,IF($I$152-AQ152=-62,38,IF($I$152-AQ152=63,37,IF($I$152-AQ152=-63,37,IF($I$152-AQ152=64,36,IF($I$152-AQ152=-64,36,IF($I$152-AQ152=65,35,0)))))))))))))))))))))))))))))))))))))))))))))))))))))))))))))))))</f>
        <v>40</v>
      </c>
      <c r="AR155" s="4">
        <f t="shared" si="52"/>
        <v>39</v>
      </c>
      <c r="AS155" s="4">
        <f t="shared" si="52"/>
        <v>0</v>
      </c>
      <c r="AT155" s="4">
        <f t="shared" si="52"/>
        <v>0</v>
      </c>
    </row>
    <row r="156" spans="1:46" x14ac:dyDescent="0.3">
      <c r="F156" s="57"/>
      <c r="G156" s="3"/>
      <c r="H156" s="3"/>
      <c r="I156" s="3"/>
      <c r="J156" s="4">
        <f>IF($I$152-J152=-65,35,IF($I$152-J152=66,34,IF($I$152-J152=-66,34,IF($I$152-J152=67,33,IF($I$152-J152=-67,33,IF($I$152-J152=68,32,IF($I$152-J152=-68,32,IF($I$152-J152=69,31,IF($I$152-J152=-69,31,IF($I$152-J152=70,30,IF($I$152-J152=-70,30,IF($I$152-J152=71,29,IF($I$152-J152=-71,29,IF($I$152-J152=72,28,IF($I$152-J152=-72,28,IF($I$152-J152=73,27,IF($I$152-J152=-73,27,IF($I$152-J152=74,26,IF($I$152-J152=-74,26,IF($I$152-J152=75,25,IF($I$152-J152=-75,25,IF($I$152-J152=76,24,IF($I$152-J152=-76,24,IF($I$152-J152=77,23,IF($I$152-J152=-77,23,IF($I$152-J152=78,22,IF($I$152-J152=-78,22,IF($I$152-J152=79,21,IF($I$152-J152=-79,21,IF($I$152-J152=80,20,IF($I$152-J152=-80,20,IF($I$152-J152=81,19,IF($I$152-J152=-81,19,IF($I$152-J152=82,18,IF($I$152-J152=-82,18,IF($I$152-J152=83,17,IF($I$152-J152=-83,17,IF($I$152-J152=84,16,IF($I$152-J152=-84,16,IF($I$152-J152=85,15,IF($I$152-J152=-85,15,IF($I$152-J152=86,14,IF($I$152-J152=-86,14,IF($I$152-J152=87,13,IF($I$152-J152=-87,13,IF($I$152-J152=88,12,IF($I$152-J152=-88,12,IF($I$152-J152=89,11,IF($I$152-J152=-89,11,IF($I$152-J152=90,10,IF($I$152-J152=-90,10,IF($I$152-J152=91,9,IF($I$152-J152=-91,9,IF($I$152-J152=92,8,IF($I$152-J152=-92,8,IF($I$152-J152=93,7,IF($I$152-J152=-93,7,IF($I$152-J152=94,6,IF($I$152-J152=-94,6,IF($I$152-J152=95,5,IF($I$152-J152=-95,5,IF($I$152-J152=96,4,0))))))))))))))))))))))))))))))))))))))))))))))))))))))))))))))</f>
        <v>0</v>
      </c>
      <c r="K156" s="4">
        <f t="shared" ref="K156:AL156" si="53">IF($I$152-K152=-65,35,IF($I$152-K152=66,34,IF($I$152-K152=-66,34,IF($I$152-K152=67,33,IF($I$152-K152=-67,33,IF($I$152-K152=68,32,IF($I$152-K152=-68,32,IF($I$152-K152=69,31,IF($I$152-K152=-69,31,IF($I$152-K152=70,30,IF($I$152-K152=-70,30,IF($I$152-K152=71,29,IF($I$152-K152=-71,29,IF($I$152-K152=72,28,IF($I$152-K152=-72,28,IF($I$152-K152=73,27,IF($I$152-K152=-73,27,IF($I$152-K152=74,26,IF($I$152-K152=-74,26,IF($I$152-K152=75,25,IF($I$152-K152=-75,25,IF($I$152-K152=76,24,IF($I$152-K152=-76,24,IF($I$152-K152=77,23,IF($I$152-K152=-77,23,IF($I$152-K152=78,22,IF($I$152-K152=-78,22,IF($I$152-K152=79,21,IF($I$152-K152=-79,21,IF($I$152-K152=80,20,IF($I$152-K152=-80,20,IF($I$152-K152=81,19,IF($I$152-K152=-81,19,IF($I$152-K152=82,18,IF($I$152-K152=-82,18,IF($I$152-K152=83,17,IF($I$152-K152=-83,17,IF($I$152-K152=84,16,IF($I$152-K152=-84,16,IF($I$152-K152=85,15,IF($I$152-K152=-85,15,IF($I$152-K152=86,14,IF($I$152-K152=-86,14,IF($I$152-K152=87,13,IF($I$152-K152=-87,13,IF($I$152-K152=88,12,IF($I$152-K152=-88,12,IF($I$152-K152=89,11,IF($I$152-K152=-89,11,IF($I$152-K152=90,10,IF($I$152-K152=-90,10,IF($I$152-K152=91,9,IF($I$152-K152=-91,9,IF($I$152-K152=92,8,IF($I$152-K152=-92,8,IF($I$152-K152=93,7,IF($I$152-K152=-93,7,IF($I$152-K152=94,6,IF($I$152-K152=-94,6,IF($I$152-K152=95,5,IF($I$152-K152=-95,5,IF($I$152-K152=96,4,0))))))))))))))))))))))))))))))))))))))))))))))))))))))))))))))</f>
        <v>19</v>
      </c>
      <c r="L156" s="4">
        <f t="shared" si="53"/>
        <v>0</v>
      </c>
      <c r="M156" s="4">
        <f t="shared" si="53"/>
        <v>34</v>
      </c>
      <c r="N156" s="4">
        <f t="shared" si="53"/>
        <v>32</v>
      </c>
      <c r="O156" s="4">
        <f t="shared" si="53"/>
        <v>14</v>
      </c>
      <c r="P156" s="4">
        <f t="shared" si="53"/>
        <v>8</v>
      </c>
      <c r="Q156" s="4">
        <f t="shared" si="53"/>
        <v>28</v>
      </c>
      <c r="R156" s="4">
        <f t="shared" si="53"/>
        <v>23</v>
      </c>
      <c r="S156" s="4">
        <f t="shared" si="53"/>
        <v>23</v>
      </c>
      <c r="T156" s="4">
        <f t="shared" si="53"/>
        <v>5</v>
      </c>
      <c r="U156" s="4">
        <f t="shared" si="53"/>
        <v>0</v>
      </c>
      <c r="V156" s="4">
        <f t="shared" ref="V156:X156" si="54">IF($I$152-V152=-65,35,IF($I$152-V152=66,34,IF($I$152-V152=-66,34,IF($I$152-V152=67,33,IF($I$152-V152=-67,33,IF($I$152-V152=68,32,IF($I$152-V152=-68,32,IF($I$152-V152=69,31,IF($I$152-V152=-69,31,IF($I$152-V152=70,30,IF($I$152-V152=-70,30,IF($I$152-V152=71,29,IF($I$152-V152=-71,29,IF($I$152-V152=72,28,IF($I$152-V152=-72,28,IF($I$152-V152=73,27,IF($I$152-V152=-73,27,IF($I$152-V152=74,26,IF($I$152-V152=-74,26,IF($I$152-V152=75,25,IF($I$152-V152=-75,25,IF($I$152-V152=76,24,IF($I$152-V152=-76,24,IF($I$152-V152=77,23,IF($I$152-V152=-77,23,IF($I$152-V152=78,22,IF($I$152-V152=-78,22,IF($I$152-V152=79,21,IF($I$152-V152=-79,21,IF($I$152-V152=80,20,IF($I$152-V152=-80,20,IF($I$152-V152=81,19,IF($I$152-V152=-81,19,IF($I$152-V152=82,18,IF($I$152-V152=-82,18,IF($I$152-V152=83,17,IF($I$152-V152=-83,17,IF($I$152-V152=84,16,IF($I$152-V152=-84,16,IF($I$152-V152=85,15,IF($I$152-V152=-85,15,IF($I$152-V152=86,14,IF($I$152-V152=-86,14,IF($I$152-V152=87,13,IF($I$152-V152=-87,13,IF($I$152-V152=88,12,IF($I$152-V152=-88,12,IF($I$152-V152=89,11,IF($I$152-V152=-89,11,IF($I$152-V152=90,10,IF($I$152-V152=-90,10,IF($I$152-V152=91,9,IF($I$152-V152=-91,9,IF($I$152-V152=92,8,IF($I$152-V152=-92,8,IF($I$152-V152=93,7,IF($I$152-V152=-93,7,IF($I$152-V152=94,6,IF($I$152-V152=-94,6,IF($I$152-V152=95,5,IF($I$152-V152=-95,5,IF($I$152-V152=96,4,0))))))))))))))))))))))))))))))))))))))))))))))))))))))))))))))</f>
        <v>32</v>
      </c>
      <c r="W156" s="4">
        <f t="shared" si="54"/>
        <v>0</v>
      </c>
      <c r="X156" s="4">
        <f t="shared" si="54"/>
        <v>24</v>
      </c>
      <c r="Y156" s="4">
        <f t="shared" si="53"/>
        <v>26</v>
      </c>
      <c r="Z156" s="4">
        <f t="shared" si="53"/>
        <v>19</v>
      </c>
      <c r="AA156" s="4">
        <f t="shared" si="53"/>
        <v>15</v>
      </c>
      <c r="AB156" s="4">
        <f t="shared" si="53"/>
        <v>0</v>
      </c>
      <c r="AC156" s="4">
        <f t="shared" si="53"/>
        <v>0</v>
      </c>
      <c r="AD156" s="4">
        <f t="shared" si="53"/>
        <v>26</v>
      </c>
      <c r="AE156" s="4">
        <f t="shared" si="53"/>
        <v>0</v>
      </c>
      <c r="AF156" s="4">
        <f t="shared" si="53"/>
        <v>0</v>
      </c>
      <c r="AG156" s="4">
        <f t="shared" si="53"/>
        <v>0</v>
      </c>
      <c r="AH156" s="4">
        <f t="shared" si="53"/>
        <v>0</v>
      </c>
      <c r="AI156" s="4">
        <f t="shared" si="53"/>
        <v>30</v>
      </c>
      <c r="AJ156" s="4">
        <f t="shared" si="53"/>
        <v>22</v>
      </c>
      <c r="AK156" s="4">
        <f t="shared" si="53"/>
        <v>19</v>
      </c>
      <c r="AL156" s="4">
        <f t="shared" si="53"/>
        <v>0</v>
      </c>
      <c r="AM156" s="4">
        <f t="shared" ref="AM156:AP156" si="55">IF($I$152-AM152=-65,35,IF($I$152-AM152=66,34,IF($I$152-AM152=-66,34,IF($I$152-AM152=67,33,IF($I$152-AM152=-67,33,IF($I$152-AM152=68,32,IF($I$152-AM152=-68,32,IF($I$152-AM152=69,31,IF($I$152-AM152=-69,31,IF($I$152-AM152=70,30,IF($I$152-AM152=-70,30,IF($I$152-AM152=71,29,IF($I$152-AM152=-71,29,IF($I$152-AM152=72,28,IF($I$152-AM152=-72,28,IF($I$152-AM152=73,27,IF($I$152-AM152=-73,27,IF($I$152-AM152=74,26,IF($I$152-AM152=-74,26,IF($I$152-AM152=75,25,IF($I$152-AM152=-75,25,IF($I$152-AM152=76,24,IF($I$152-AM152=-76,24,IF($I$152-AM152=77,23,IF($I$152-AM152=-77,23,IF($I$152-AM152=78,22,IF($I$152-AM152=-78,22,IF($I$152-AM152=79,21,IF($I$152-AM152=-79,21,IF($I$152-AM152=80,20,IF($I$152-AM152=-80,20,IF($I$152-AM152=81,19,IF($I$152-AM152=-81,19,IF($I$152-AM152=82,18,IF($I$152-AM152=-82,18,IF($I$152-AM152=83,17,IF($I$152-AM152=-83,17,IF($I$152-AM152=84,16,IF($I$152-AM152=-84,16,IF($I$152-AM152=85,15,IF($I$152-AM152=-85,15,IF($I$152-AM152=86,14,IF($I$152-AM152=-86,14,IF($I$152-AM152=87,13,IF($I$152-AM152=-87,13,IF($I$152-AM152=88,12,IF($I$152-AM152=-88,12,IF($I$152-AM152=89,11,IF($I$152-AM152=-89,11,IF($I$152-AM152=90,10,IF($I$152-AM152=-90,10,IF($I$152-AM152=91,9,IF($I$152-AM152=-91,9,IF($I$152-AM152=92,8,IF($I$152-AM152=-92,8,IF($I$152-AM152=93,7,IF($I$152-AM152=-93,7,IF($I$152-AM152=94,6,IF($I$152-AM152=-94,6,IF($I$152-AM152=95,5,IF($I$152-AM152=-95,5,IF($I$152-AM152=96,4,0))))))))))))))))))))))))))))))))))))))))))))))))))))))))))))))</f>
        <v>0</v>
      </c>
      <c r="AN156" s="4">
        <f t="shared" si="55"/>
        <v>0</v>
      </c>
      <c r="AO156" s="4">
        <f t="shared" si="55"/>
        <v>0</v>
      </c>
      <c r="AP156" s="4">
        <f t="shared" si="55"/>
        <v>0</v>
      </c>
      <c r="AQ156" s="4">
        <f t="shared" ref="AQ156:AT156" si="56">IF($I$152-AQ152=-65,35,IF($I$152-AQ152=66,34,IF($I$152-AQ152=-66,34,IF($I$152-AQ152=67,33,IF($I$152-AQ152=-67,33,IF($I$152-AQ152=68,32,IF($I$152-AQ152=-68,32,IF($I$152-AQ152=69,31,IF($I$152-AQ152=-69,31,IF($I$152-AQ152=70,30,IF($I$152-AQ152=-70,30,IF($I$152-AQ152=71,29,IF($I$152-AQ152=-71,29,IF($I$152-AQ152=72,28,IF($I$152-AQ152=-72,28,IF($I$152-AQ152=73,27,IF($I$152-AQ152=-73,27,IF($I$152-AQ152=74,26,IF($I$152-AQ152=-74,26,IF($I$152-AQ152=75,25,IF($I$152-AQ152=-75,25,IF($I$152-AQ152=76,24,IF($I$152-AQ152=-76,24,IF($I$152-AQ152=77,23,IF($I$152-AQ152=-77,23,IF($I$152-AQ152=78,22,IF($I$152-AQ152=-78,22,IF($I$152-AQ152=79,21,IF($I$152-AQ152=-79,21,IF($I$152-AQ152=80,20,IF($I$152-AQ152=-80,20,IF($I$152-AQ152=81,19,IF($I$152-AQ152=-81,19,IF($I$152-AQ152=82,18,IF($I$152-AQ152=-82,18,IF($I$152-AQ152=83,17,IF($I$152-AQ152=-83,17,IF($I$152-AQ152=84,16,IF($I$152-AQ152=-84,16,IF($I$152-AQ152=85,15,IF($I$152-AQ152=-85,15,IF($I$152-AQ152=86,14,IF($I$152-AQ152=-86,14,IF($I$152-AQ152=87,13,IF($I$152-AQ152=-87,13,IF($I$152-AQ152=88,12,IF($I$152-AQ152=-88,12,IF($I$152-AQ152=89,11,IF($I$152-AQ152=-89,11,IF($I$152-AQ152=90,10,IF($I$152-AQ152=-90,10,IF($I$152-AQ152=91,9,IF($I$152-AQ152=-91,9,IF($I$152-AQ152=92,8,IF($I$152-AQ152=-92,8,IF($I$152-AQ152=93,7,IF($I$152-AQ152=-93,7,IF($I$152-AQ152=94,6,IF($I$152-AQ152=-94,6,IF($I$152-AQ152=95,5,IF($I$152-AQ152=-95,5,IF($I$152-AQ152=96,4,0))))))))))))))))))))))))))))))))))))))))))))))))))))))))))))))</f>
        <v>0</v>
      </c>
      <c r="AR156" s="4">
        <f t="shared" si="56"/>
        <v>0</v>
      </c>
      <c r="AS156" s="4">
        <f t="shared" si="56"/>
        <v>0</v>
      </c>
      <c r="AT156" s="4">
        <f t="shared" si="56"/>
        <v>0</v>
      </c>
    </row>
    <row r="157" spans="1:46" x14ac:dyDescent="0.3">
      <c r="F157" s="57"/>
      <c r="G157" s="3"/>
      <c r="H157" s="3"/>
      <c r="I157" s="3"/>
      <c r="J157" s="4">
        <f>IF($I$152-J152=-96,4,IF($I$152-J152=97,3,IF($I$152-J152=-97,3,IF($I$152-J152=98,2,IF($I$152-J152=-98,2,IF($I$152-J152=99,1,IF($I$152-J152=-99,1,IF($I$152-J152=100,0,IF($I$152-J152=-100,0,0)))))))))</f>
        <v>0</v>
      </c>
      <c r="K157" s="4">
        <f t="shared" ref="K157:AL157" si="57">IF($I$152-K152=-96,4,IF($I$152-K152=97,3,IF($I$152-K152=-97,3,IF($I$152-K152=98,2,IF($I$152-K152=-98,2,IF($I$152-K152=99,1,IF($I$152-K152=-99,1,IF($I$152-K152=100,0,IF($I$152-K152=-100,0,0)))))))))</f>
        <v>0</v>
      </c>
      <c r="L157" s="4">
        <f t="shared" si="57"/>
        <v>0</v>
      </c>
      <c r="M157" s="4">
        <f t="shared" si="57"/>
        <v>0</v>
      </c>
      <c r="N157" s="4">
        <f t="shared" si="57"/>
        <v>0</v>
      </c>
      <c r="O157" s="4">
        <f t="shared" si="57"/>
        <v>0</v>
      </c>
      <c r="P157" s="4">
        <f t="shared" si="57"/>
        <v>0</v>
      </c>
      <c r="Q157" s="4">
        <f t="shared" si="57"/>
        <v>0</v>
      </c>
      <c r="R157" s="4">
        <f t="shared" si="57"/>
        <v>0</v>
      </c>
      <c r="S157" s="4">
        <f t="shared" si="57"/>
        <v>0</v>
      </c>
      <c r="T157" s="4">
        <f t="shared" si="57"/>
        <v>0</v>
      </c>
      <c r="U157" s="4">
        <f t="shared" si="57"/>
        <v>0</v>
      </c>
      <c r="V157" s="4">
        <f t="shared" ref="V157:X157" si="58">IF($I$152-V152=-96,4,IF($I$152-V152=97,3,IF($I$152-V152=-97,3,IF($I$152-V152=98,2,IF($I$152-V152=-98,2,IF($I$152-V152=99,1,IF($I$152-V152=-99,1,IF($I$152-V152=100,0,IF($I$152-V152=-100,0,0)))))))))</f>
        <v>0</v>
      </c>
      <c r="W157" s="4">
        <f t="shared" si="58"/>
        <v>0</v>
      </c>
      <c r="X157" s="4">
        <f t="shared" si="58"/>
        <v>0</v>
      </c>
      <c r="Y157" s="4">
        <f t="shared" si="57"/>
        <v>0</v>
      </c>
      <c r="Z157" s="4">
        <f t="shared" si="57"/>
        <v>0</v>
      </c>
      <c r="AA157" s="4">
        <f t="shared" si="57"/>
        <v>0</v>
      </c>
      <c r="AB157" s="4">
        <f t="shared" si="57"/>
        <v>0</v>
      </c>
      <c r="AC157" s="4">
        <f t="shared" si="57"/>
        <v>0</v>
      </c>
      <c r="AD157" s="4">
        <f t="shared" si="57"/>
        <v>0</v>
      </c>
      <c r="AE157" s="4">
        <f t="shared" si="57"/>
        <v>0</v>
      </c>
      <c r="AF157" s="4">
        <f t="shared" si="57"/>
        <v>0</v>
      </c>
      <c r="AG157" s="4">
        <f t="shared" si="57"/>
        <v>0</v>
      </c>
      <c r="AH157" s="4">
        <f t="shared" si="57"/>
        <v>0</v>
      </c>
      <c r="AI157" s="4">
        <f t="shared" si="57"/>
        <v>0</v>
      </c>
      <c r="AJ157" s="4">
        <f t="shared" si="57"/>
        <v>0</v>
      </c>
      <c r="AK157" s="4">
        <f t="shared" si="57"/>
        <v>0</v>
      </c>
      <c r="AL157" s="4">
        <f t="shared" si="57"/>
        <v>0</v>
      </c>
      <c r="AM157" s="4">
        <f t="shared" ref="AM157:AP157" si="59">IF($I$152-AM152=-96,4,IF($I$152-AM152=97,3,IF($I$152-AM152=-97,3,IF($I$152-AM152=98,2,IF($I$152-AM152=-98,2,IF($I$152-AM152=99,1,IF($I$152-AM152=-99,1,IF($I$152-AM152=100,0,IF($I$152-AM152=-100,0,0)))))))))</f>
        <v>0</v>
      </c>
      <c r="AN157" s="4">
        <f t="shared" si="59"/>
        <v>1</v>
      </c>
      <c r="AO157" s="4">
        <f t="shared" si="59"/>
        <v>0</v>
      </c>
      <c r="AP157" s="4">
        <f t="shared" si="59"/>
        <v>0</v>
      </c>
      <c r="AQ157" s="4">
        <f t="shared" ref="AQ157:AT157" si="60">IF($I$152-AQ152=-96,4,IF($I$152-AQ152=97,3,IF($I$152-AQ152=-97,3,IF($I$152-AQ152=98,2,IF($I$152-AQ152=-98,2,IF($I$152-AQ152=99,1,IF($I$152-AQ152=-99,1,IF($I$152-AQ152=100,0,IF($I$152-AQ152=-100,0,0)))))))))</f>
        <v>0</v>
      </c>
      <c r="AR157" s="4">
        <f t="shared" si="60"/>
        <v>0</v>
      </c>
      <c r="AS157" s="4">
        <f t="shared" si="60"/>
        <v>0</v>
      </c>
      <c r="AT157" s="4">
        <f t="shared" si="60"/>
        <v>0</v>
      </c>
    </row>
    <row r="158" spans="1:46" ht="24" customHeight="1" x14ac:dyDescent="0.3">
      <c r="E158" s="138"/>
      <c r="F158" s="138"/>
      <c r="G158" s="138"/>
      <c r="H158" s="138"/>
      <c r="I158" s="3"/>
    </row>
    <row r="159" spans="1:46" ht="24" customHeight="1" x14ac:dyDescent="0.3">
      <c r="E159" s="138"/>
      <c r="F159" s="138"/>
      <c r="G159" s="138"/>
      <c r="H159" s="138"/>
      <c r="I159" s="3"/>
    </row>
    <row r="160" spans="1:46" ht="24" customHeight="1" x14ac:dyDescent="0.3">
      <c r="E160" s="138"/>
      <c r="F160" s="138"/>
      <c r="G160" s="138"/>
      <c r="H160" s="138"/>
      <c r="I160" s="3"/>
    </row>
    <row r="181" spans="10:10" x14ac:dyDescent="0.3">
      <c r="J181" s="2">
        <v>1</v>
      </c>
    </row>
  </sheetData>
  <sortState xmlns:xlrd2="http://schemas.microsoft.com/office/spreadsheetml/2017/richdata2" columnSort="1" ref="J2:AT153">
    <sortCondition descending="1" ref="J3:AT3"/>
    <sortCondition descending="1" ref="J153:AT153"/>
  </sortState>
  <mergeCells count="596">
    <mergeCell ref="A1:I1"/>
    <mergeCell ref="G2:I2"/>
    <mergeCell ref="G3:H3"/>
    <mergeCell ref="A8:A19"/>
    <mergeCell ref="E8:E9"/>
    <mergeCell ref="F8:F9"/>
    <mergeCell ref="G8:G9"/>
    <mergeCell ref="H8:H9"/>
    <mergeCell ref="I8:I9"/>
    <mergeCell ref="E10:E11"/>
    <mergeCell ref="I14:I15"/>
    <mergeCell ref="E16:E17"/>
    <mergeCell ref="F16:F17"/>
    <mergeCell ref="G16:G17"/>
    <mergeCell ref="H16:H17"/>
    <mergeCell ref="I16:I17"/>
    <mergeCell ref="F10:F11"/>
    <mergeCell ref="G10:G11"/>
    <mergeCell ref="H10:H11"/>
    <mergeCell ref="I10:I11"/>
    <mergeCell ref="E12:E13"/>
    <mergeCell ref="F12:F13"/>
    <mergeCell ref="G12:G13"/>
    <mergeCell ref="H12:H13"/>
    <mergeCell ref="I12:I13"/>
    <mergeCell ref="A20:A31"/>
    <mergeCell ref="E20:E21"/>
    <mergeCell ref="F20:F21"/>
    <mergeCell ref="G20:G21"/>
    <mergeCell ref="H20:H21"/>
    <mergeCell ref="E14:E15"/>
    <mergeCell ref="F14:F15"/>
    <mergeCell ref="G14:G15"/>
    <mergeCell ref="H14:H15"/>
    <mergeCell ref="I20:I21"/>
    <mergeCell ref="E22:E23"/>
    <mergeCell ref="F22:F23"/>
    <mergeCell ref="G22:G23"/>
    <mergeCell ref="H22:H23"/>
    <mergeCell ref="I22:I23"/>
    <mergeCell ref="E18:E19"/>
    <mergeCell ref="F18:F19"/>
    <mergeCell ref="G18:G19"/>
    <mergeCell ref="H18:H19"/>
    <mergeCell ref="I18:I19"/>
    <mergeCell ref="E24:E25"/>
    <mergeCell ref="F24:F25"/>
    <mergeCell ref="G24:G25"/>
    <mergeCell ref="H24:H25"/>
    <mergeCell ref="I24:I25"/>
    <mergeCell ref="E26:E27"/>
    <mergeCell ref="F26:F27"/>
    <mergeCell ref="G26:G27"/>
    <mergeCell ref="H26:H27"/>
    <mergeCell ref="I26:I27"/>
    <mergeCell ref="I32:I33"/>
    <mergeCell ref="E34:E35"/>
    <mergeCell ref="F34:F35"/>
    <mergeCell ref="G34:G35"/>
    <mergeCell ref="H34:H35"/>
    <mergeCell ref="E28:E29"/>
    <mergeCell ref="F28:F29"/>
    <mergeCell ref="G28:G29"/>
    <mergeCell ref="H28:H29"/>
    <mergeCell ref="I28:I29"/>
    <mergeCell ref="E30:E31"/>
    <mergeCell ref="F30:F31"/>
    <mergeCell ref="G30:G31"/>
    <mergeCell ref="H30:H31"/>
    <mergeCell ref="I30:I31"/>
    <mergeCell ref="I38:I39"/>
    <mergeCell ref="E40:E41"/>
    <mergeCell ref="F40:F41"/>
    <mergeCell ref="G40:G41"/>
    <mergeCell ref="H40:H41"/>
    <mergeCell ref="I40:I41"/>
    <mergeCell ref="I34:I35"/>
    <mergeCell ref="E36:E37"/>
    <mergeCell ref="F36:F37"/>
    <mergeCell ref="G36:G37"/>
    <mergeCell ref="H36:H37"/>
    <mergeCell ref="I36:I37"/>
    <mergeCell ref="A44:A55"/>
    <mergeCell ref="E44:E45"/>
    <mergeCell ref="F44:F45"/>
    <mergeCell ref="G44:G45"/>
    <mergeCell ref="H44:H45"/>
    <mergeCell ref="E38:E39"/>
    <mergeCell ref="F38:F39"/>
    <mergeCell ref="G38:G39"/>
    <mergeCell ref="H38:H39"/>
    <mergeCell ref="A32:A43"/>
    <mergeCell ref="E32:E33"/>
    <mergeCell ref="F32:F33"/>
    <mergeCell ref="G32:G33"/>
    <mergeCell ref="H32:H33"/>
    <mergeCell ref="E48:E49"/>
    <mergeCell ref="F48:F49"/>
    <mergeCell ref="G48:G49"/>
    <mergeCell ref="H48:H49"/>
    <mergeCell ref="B54:B55"/>
    <mergeCell ref="B44:B45"/>
    <mergeCell ref="B46:B47"/>
    <mergeCell ref="B48:B49"/>
    <mergeCell ref="B50:B51"/>
    <mergeCell ref="B52:B53"/>
    <mergeCell ref="I44:I45"/>
    <mergeCell ref="E46:E47"/>
    <mergeCell ref="F46:F47"/>
    <mergeCell ref="G46:G47"/>
    <mergeCell ref="H46:H47"/>
    <mergeCell ref="I46:I47"/>
    <mergeCell ref="E42:E43"/>
    <mergeCell ref="F42:F43"/>
    <mergeCell ref="G42:G43"/>
    <mergeCell ref="H42:H43"/>
    <mergeCell ref="I42:I43"/>
    <mergeCell ref="I48:I49"/>
    <mergeCell ref="E50:E51"/>
    <mergeCell ref="F50:F51"/>
    <mergeCell ref="G50:G51"/>
    <mergeCell ref="H50:H51"/>
    <mergeCell ref="I50:I51"/>
    <mergeCell ref="I56:I57"/>
    <mergeCell ref="E58:E59"/>
    <mergeCell ref="F58:F59"/>
    <mergeCell ref="G58:G59"/>
    <mergeCell ref="H58:H59"/>
    <mergeCell ref="E52:E53"/>
    <mergeCell ref="F52:F53"/>
    <mergeCell ref="G52:G53"/>
    <mergeCell ref="H52:H53"/>
    <mergeCell ref="I52:I53"/>
    <mergeCell ref="E54:E55"/>
    <mergeCell ref="F54:F55"/>
    <mergeCell ref="G54:G55"/>
    <mergeCell ref="H54:H55"/>
    <mergeCell ref="I54:I55"/>
    <mergeCell ref="I62:I63"/>
    <mergeCell ref="E64:E65"/>
    <mergeCell ref="F64:F65"/>
    <mergeCell ref="G64:G65"/>
    <mergeCell ref="H64:H65"/>
    <mergeCell ref="I64:I65"/>
    <mergeCell ref="I58:I59"/>
    <mergeCell ref="E60:E61"/>
    <mergeCell ref="F60:F61"/>
    <mergeCell ref="G60:G61"/>
    <mergeCell ref="H60:H61"/>
    <mergeCell ref="I60:I61"/>
    <mergeCell ref="A68:A79"/>
    <mergeCell ref="E68:E69"/>
    <mergeCell ref="F68:F69"/>
    <mergeCell ref="G68:G69"/>
    <mergeCell ref="H68:H69"/>
    <mergeCell ref="E62:E63"/>
    <mergeCell ref="F62:F63"/>
    <mergeCell ref="G62:G63"/>
    <mergeCell ref="H62:H63"/>
    <mergeCell ref="A56:A67"/>
    <mergeCell ref="E56:E57"/>
    <mergeCell ref="F56:F57"/>
    <mergeCell ref="G56:G57"/>
    <mergeCell ref="H56:H57"/>
    <mergeCell ref="E72:E73"/>
    <mergeCell ref="F72:F73"/>
    <mergeCell ref="G72:G73"/>
    <mergeCell ref="H72:H73"/>
    <mergeCell ref="E78:E79"/>
    <mergeCell ref="F78:F79"/>
    <mergeCell ref="G78:G79"/>
    <mergeCell ref="H78:H79"/>
    <mergeCell ref="B56:B57"/>
    <mergeCell ref="B58:B59"/>
    <mergeCell ref="I68:I69"/>
    <mergeCell ref="E70:E71"/>
    <mergeCell ref="F70:F71"/>
    <mergeCell ref="G70:G71"/>
    <mergeCell ref="H70:H71"/>
    <mergeCell ref="I70:I71"/>
    <mergeCell ref="E66:E67"/>
    <mergeCell ref="F66:F67"/>
    <mergeCell ref="G66:G67"/>
    <mergeCell ref="H66:H67"/>
    <mergeCell ref="I66:I67"/>
    <mergeCell ref="I72:I73"/>
    <mergeCell ref="E74:E75"/>
    <mergeCell ref="F74:F75"/>
    <mergeCell ref="G74:G75"/>
    <mergeCell ref="H74:H75"/>
    <mergeCell ref="I74:I75"/>
    <mergeCell ref="E76:E77"/>
    <mergeCell ref="F76:F77"/>
    <mergeCell ref="G76:G77"/>
    <mergeCell ref="H76:H77"/>
    <mergeCell ref="I76:I77"/>
    <mergeCell ref="I78:I79"/>
    <mergeCell ref="F152:H152"/>
    <mergeCell ref="F153:I153"/>
    <mergeCell ref="E158:H158"/>
    <mergeCell ref="E159:H159"/>
    <mergeCell ref="E160:H160"/>
    <mergeCell ref="H88:H89"/>
    <mergeCell ref="I88:I89"/>
    <mergeCell ref="E90:E91"/>
    <mergeCell ref="F90:F91"/>
    <mergeCell ref="G90:G91"/>
    <mergeCell ref="H90:H91"/>
    <mergeCell ref="I90:I91"/>
    <mergeCell ref="E100:E101"/>
    <mergeCell ref="F100:F101"/>
    <mergeCell ref="G100:G101"/>
    <mergeCell ref="H108:H109"/>
    <mergeCell ref="I108:I109"/>
    <mergeCell ref="E110:E111"/>
    <mergeCell ref="H110:H111"/>
    <mergeCell ref="I110:I111"/>
    <mergeCell ref="H100:H101"/>
    <mergeCell ref="I100:I101"/>
    <mergeCell ref="E102:E103"/>
    <mergeCell ref="A80:A91"/>
    <mergeCell ref="E80:E81"/>
    <mergeCell ref="F80:F81"/>
    <mergeCell ref="G80:G81"/>
    <mergeCell ref="H80:H81"/>
    <mergeCell ref="I80:I81"/>
    <mergeCell ref="E82:E83"/>
    <mergeCell ref="F82:F83"/>
    <mergeCell ref="G82:G83"/>
    <mergeCell ref="H82:H83"/>
    <mergeCell ref="I82:I83"/>
    <mergeCell ref="E84:E85"/>
    <mergeCell ref="F84:F85"/>
    <mergeCell ref="G84:G85"/>
    <mergeCell ref="H84:H85"/>
    <mergeCell ref="I84:I85"/>
    <mergeCell ref="E86:E87"/>
    <mergeCell ref="F86:F87"/>
    <mergeCell ref="G86:G87"/>
    <mergeCell ref="H86:H87"/>
    <mergeCell ref="I86:I87"/>
    <mergeCell ref="E88:E89"/>
    <mergeCell ref="F88:F89"/>
    <mergeCell ref="G88:G89"/>
    <mergeCell ref="A92:A103"/>
    <mergeCell ref="E92:E93"/>
    <mergeCell ref="F92:F93"/>
    <mergeCell ref="G92:G93"/>
    <mergeCell ref="H92:H93"/>
    <mergeCell ref="I92:I93"/>
    <mergeCell ref="E94:E95"/>
    <mergeCell ref="F94:F95"/>
    <mergeCell ref="G94:G95"/>
    <mergeCell ref="H94:H95"/>
    <mergeCell ref="I94:I95"/>
    <mergeCell ref="E96:E97"/>
    <mergeCell ref="F96:F97"/>
    <mergeCell ref="G96:G97"/>
    <mergeCell ref="H96:H97"/>
    <mergeCell ref="I96:I97"/>
    <mergeCell ref="E98:E99"/>
    <mergeCell ref="F98:F99"/>
    <mergeCell ref="G98:G99"/>
    <mergeCell ref="H98:H99"/>
    <mergeCell ref="I98:I99"/>
    <mergeCell ref="B96:B97"/>
    <mergeCell ref="B98:B99"/>
    <mergeCell ref="B100:B101"/>
    <mergeCell ref="F102:F103"/>
    <mergeCell ref="G102:G103"/>
    <mergeCell ref="H102:H103"/>
    <mergeCell ref="I102:I103"/>
    <mergeCell ref="E104:E105"/>
    <mergeCell ref="F104:F105"/>
    <mergeCell ref="G104:G105"/>
    <mergeCell ref="H104:H105"/>
    <mergeCell ref="I104:I105"/>
    <mergeCell ref="A104:A115"/>
    <mergeCell ref="E108:E109"/>
    <mergeCell ref="F108:F109"/>
    <mergeCell ref="G108:G109"/>
    <mergeCell ref="E112:E113"/>
    <mergeCell ref="F112:F113"/>
    <mergeCell ref="G112:G113"/>
    <mergeCell ref="H112:H113"/>
    <mergeCell ref="I112:I113"/>
    <mergeCell ref="E106:E107"/>
    <mergeCell ref="F106:F107"/>
    <mergeCell ref="G106:G107"/>
    <mergeCell ref="H106:H107"/>
    <mergeCell ref="I106:I107"/>
    <mergeCell ref="E114:E115"/>
    <mergeCell ref="F114:F115"/>
    <mergeCell ref="G114:G115"/>
    <mergeCell ref="H114:H115"/>
    <mergeCell ref="F110:F111"/>
    <mergeCell ref="G110:G111"/>
    <mergeCell ref="D112:D113"/>
    <mergeCell ref="D114:D115"/>
    <mergeCell ref="A116:A127"/>
    <mergeCell ref="E116:E117"/>
    <mergeCell ref="F116:F117"/>
    <mergeCell ref="G116:G117"/>
    <mergeCell ref="H116:H117"/>
    <mergeCell ref="I116:I117"/>
    <mergeCell ref="E118:E119"/>
    <mergeCell ref="F118:F119"/>
    <mergeCell ref="G118:G119"/>
    <mergeCell ref="H118:H119"/>
    <mergeCell ref="I118:I119"/>
    <mergeCell ref="E120:E121"/>
    <mergeCell ref="F120:F121"/>
    <mergeCell ref="G120:G121"/>
    <mergeCell ref="H120:H121"/>
    <mergeCell ref="I120:I121"/>
    <mergeCell ref="E122:E123"/>
    <mergeCell ref="F122:F123"/>
    <mergeCell ref="G122:G123"/>
    <mergeCell ref="B120:B121"/>
    <mergeCell ref="B122:B123"/>
    <mergeCell ref="B124:B125"/>
    <mergeCell ref="B126:B127"/>
    <mergeCell ref="C116:C117"/>
    <mergeCell ref="I128:I129"/>
    <mergeCell ref="E130:E131"/>
    <mergeCell ref="F130:F131"/>
    <mergeCell ref="G130:G131"/>
    <mergeCell ref="H130:H131"/>
    <mergeCell ref="I130:I131"/>
    <mergeCell ref="E132:E133"/>
    <mergeCell ref="F132:F133"/>
    <mergeCell ref="I114:I115"/>
    <mergeCell ref="H122:H123"/>
    <mergeCell ref="I122:I123"/>
    <mergeCell ref="E124:E125"/>
    <mergeCell ref="F124:F125"/>
    <mergeCell ref="G124:G125"/>
    <mergeCell ref="H124:H125"/>
    <mergeCell ref="I124:I125"/>
    <mergeCell ref="E126:E127"/>
    <mergeCell ref="F126:F127"/>
    <mergeCell ref="G126:G127"/>
    <mergeCell ref="H126:H127"/>
    <mergeCell ref="I126:I127"/>
    <mergeCell ref="G132:G133"/>
    <mergeCell ref="H132:H133"/>
    <mergeCell ref="I132:I133"/>
    <mergeCell ref="I136:I137"/>
    <mergeCell ref="E138:E139"/>
    <mergeCell ref="F138:F139"/>
    <mergeCell ref="G138:G139"/>
    <mergeCell ref="H138:H139"/>
    <mergeCell ref="I138:I139"/>
    <mergeCell ref="I134:I135"/>
    <mergeCell ref="E136:E137"/>
    <mergeCell ref="F136:F137"/>
    <mergeCell ref="G136:G137"/>
    <mergeCell ref="A140:A151"/>
    <mergeCell ref="E140:E141"/>
    <mergeCell ref="F140:F141"/>
    <mergeCell ref="G140:G141"/>
    <mergeCell ref="H140:H141"/>
    <mergeCell ref="I140:I141"/>
    <mergeCell ref="E142:E143"/>
    <mergeCell ref="F142:F143"/>
    <mergeCell ref="G142:G143"/>
    <mergeCell ref="H142:H143"/>
    <mergeCell ref="I142:I143"/>
    <mergeCell ref="E144:E145"/>
    <mergeCell ref="F144:F145"/>
    <mergeCell ref="G144:G145"/>
    <mergeCell ref="H144:H145"/>
    <mergeCell ref="I144:I145"/>
    <mergeCell ref="E146:E147"/>
    <mergeCell ref="A128:A139"/>
    <mergeCell ref="I150:I151"/>
    <mergeCell ref="F146:F147"/>
    <mergeCell ref="G146:G147"/>
    <mergeCell ref="H146:H147"/>
    <mergeCell ref="I146:I147"/>
    <mergeCell ref="E148:E149"/>
    <mergeCell ref="F148:F149"/>
    <mergeCell ref="G148:G149"/>
    <mergeCell ref="H148:H149"/>
    <mergeCell ref="I148:I149"/>
    <mergeCell ref="E150:E151"/>
    <mergeCell ref="F150:F151"/>
    <mergeCell ref="G150:G151"/>
    <mergeCell ref="H150:H151"/>
    <mergeCell ref="H136:H137"/>
    <mergeCell ref="E128:E129"/>
    <mergeCell ref="F128:F129"/>
    <mergeCell ref="G128:G129"/>
    <mergeCell ref="H128:H129"/>
    <mergeCell ref="E134:E135"/>
    <mergeCell ref="F134:F135"/>
    <mergeCell ref="G134:G135"/>
    <mergeCell ref="H134:H135"/>
    <mergeCell ref="B26:B27"/>
    <mergeCell ref="B28:B29"/>
    <mergeCell ref="B30:B31"/>
    <mergeCell ref="B32:B33"/>
    <mergeCell ref="B34:B35"/>
    <mergeCell ref="B36:B37"/>
    <mergeCell ref="B38:B39"/>
    <mergeCell ref="B40:B41"/>
    <mergeCell ref="B42:B43"/>
    <mergeCell ref="B60:B61"/>
    <mergeCell ref="B62:B63"/>
    <mergeCell ref="B64:B65"/>
    <mergeCell ref="B66:B67"/>
    <mergeCell ref="B68:B69"/>
    <mergeCell ref="B70:B71"/>
    <mergeCell ref="B72:B73"/>
    <mergeCell ref="B74:B75"/>
    <mergeCell ref="B76:B77"/>
    <mergeCell ref="B8:B9"/>
    <mergeCell ref="B10:B11"/>
    <mergeCell ref="B12:B13"/>
    <mergeCell ref="B14:B15"/>
    <mergeCell ref="B16:B17"/>
    <mergeCell ref="B18:B19"/>
    <mergeCell ref="B20:B21"/>
    <mergeCell ref="B22:B23"/>
    <mergeCell ref="B24:B25"/>
    <mergeCell ref="B78:B79"/>
    <mergeCell ref="B80:B81"/>
    <mergeCell ref="B82:B83"/>
    <mergeCell ref="B84:B85"/>
    <mergeCell ref="B86:B87"/>
    <mergeCell ref="B88:B89"/>
    <mergeCell ref="B90:B91"/>
    <mergeCell ref="B92:B93"/>
    <mergeCell ref="B94:B95"/>
    <mergeCell ref="B102:B103"/>
    <mergeCell ref="B104:B105"/>
    <mergeCell ref="B106:B107"/>
    <mergeCell ref="B108:B109"/>
    <mergeCell ref="B110:B111"/>
    <mergeCell ref="B112:B113"/>
    <mergeCell ref="B114:B115"/>
    <mergeCell ref="B116:B117"/>
    <mergeCell ref="B118:B119"/>
    <mergeCell ref="B128:B129"/>
    <mergeCell ref="B130:B131"/>
    <mergeCell ref="B150:B151"/>
    <mergeCell ref="B132:B133"/>
    <mergeCell ref="B134:B135"/>
    <mergeCell ref="B136:B137"/>
    <mergeCell ref="B138:B139"/>
    <mergeCell ref="B140:B141"/>
    <mergeCell ref="B142:B143"/>
    <mergeCell ref="B144:B145"/>
    <mergeCell ref="B146:B147"/>
    <mergeCell ref="B148:B149"/>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C64:C65"/>
    <mergeCell ref="C66:C67"/>
    <mergeCell ref="C68:C69"/>
    <mergeCell ref="C70:C71"/>
    <mergeCell ref="C72:C73"/>
    <mergeCell ref="C74:C75"/>
    <mergeCell ref="C76:C77"/>
    <mergeCell ref="C78:C79"/>
    <mergeCell ref="C80:C81"/>
    <mergeCell ref="C82:C83"/>
    <mergeCell ref="C84:C85"/>
    <mergeCell ref="C86:C87"/>
    <mergeCell ref="C88:C89"/>
    <mergeCell ref="C90:C91"/>
    <mergeCell ref="C92:C93"/>
    <mergeCell ref="C94:C95"/>
    <mergeCell ref="C96:C97"/>
    <mergeCell ref="C98:C99"/>
    <mergeCell ref="C100:C101"/>
    <mergeCell ref="C102:C103"/>
    <mergeCell ref="C104:C105"/>
    <mergeCell ref="C106:C107"/>
    <mergeCell ref="C108:C109"/>
    <mergeCell ref="C110:C111"/>
    <mergeCell ref="C112:C113"/>
    <mergeCell ref="C114:C115"/>
    <mergeCell ref="C118:C119"/>
    <mergeCell ref="C120:C121"/>
    <mergeCell ref="C122:C123"/>
    <mergeCell ref="C124:C125"/>
    <mergeCell ref="C126:C127"/>
    <mergeCell ref="C128:C129"/>
    <mergeCell ref="C130:C131"/>
    <mergeCell ref="C132:C133"/>
    <mergeCell ref="C134:C135"/>
    <mergeCell ref="C136:C137"/>
    <mergeCell ref="C138:C139"/>
    <mergeCell ref="C140:C141"/>
    <mergeCell ref="C142:C143"/>
    <mergeCell ref="C144:C145"/>
    <mergeCell ref="C146:C147"/>
    <mergeCell ref="C148:C149"/>
    <mergeCell ref="C150:C151"/>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D64:D65"/>
    <mergeCell ref="D66:D67"/>
    <mergeCell ref="D68:D69"/>
    <mergeCell ref="D70:D71"/>
    <mergeCell ref="D72:D73"/>
    <mergeCell ref="D74:D75"/>
    <mergeCell ref="D76:D77"/>
    <mergeCell ref="D78:D79"/>
    <mergeCell ref="D80:D81"/>
    <mergeCell ref="D82:D83"/>
    <mergeCell ref="D84:D85"/>
    <mergeCell ref="D86:D87"/>
    <mergeCell ref="D88:D89"/>
    <mergeCell ref="D90:D91"/>
    <mergeCell ref="D92:D93"/>
    <mergeCell ref="D94:D95"/>
    <mergeCell ref="D96:D97"/>
    <mergeCell ref="D98:D99"/>
    <mergeCell ref="D100:D101"/>
    <mergeCell ref="D102:D103"/>
    <mergeCell ref="D104:D105"/>
    <mergeCell ref="D106:D107"/>
    <mergeCell ref="D108:D109"/>
    <mergeCell ref="D110:D111"/>
    <mergeCell ref="D116:D117"/>
    <mergeCell ref="D118:D119"/>
    <mergeCell ref="D120:D121"/>
    <mergeCell ref="D122:D123"/>
    <mergeCell ref="D124:D125"/>
    <mergeCell ref="D126:D127"/>
    <mergeCell ref="D128:D129"/>
    <mergeCell ref="D130:D131"/>
    <mergeCell ref="D132:D133"/>
    <mergeCell ref="D134:D135"/>
    <mergeCell ref="D136:D137"/>
    <mergeCell ref="D138:D139"/>
    <mergeCell ref="D140:D141"/>
    <mergeCell ref="D142:D143"/>
    <mergeCell ref="D144:D145"/>
    <mergeCell ref="D146:D147"/>
    <mergeCell ref="D148:D149"/>
    <mergeCell ref="D150:D151"/>
  </mergeCells>
  <dataValidations count="4">
    <dataValidation type="list" allowBlank="1" showInputMessage="1" showErrorMessage="1" sqref="J8:P8 R148:AT148 R8:AT8 R10:AT10 R12:AT12 R14:AT14 R150:AT150 R128:AT128 R130:AT130 R132:AT132 R134:AT134 R136:AT136 R138:AT138 R140:AT140 R142:AT142 R144:AT144 R146:AT146 R124:AT124 R126:AT126 R104:AT104 R106:AT106 R108:AT108 R110:AT110 R112:AT112 R114:AT114 R116:AT116 R118:AT118 R120:AT120 R122:AT122 R100:AT100 R102:AT102 R80:AT80 R82:AT82 R84:AT84 R86:AT86 R88:AT88 R90:AT90 R92:AT92 R94:AT94 R96:AT96 R98:AT98 R76:AT76 R78:AT78 R16:AT16 R18:AT18 R20:AT20 R22:AT22 R24:AT24 R26:AT26 R28:AT28 R30:AT30 R32:AT32 R34:AT34 R36:AT36 R38:AT38 R40:AT40 R42:AT42 R44:AT44 R46:AT46 R48:AT48 R50:AT50 R52:AT52 R54:AT54 R56:AT56 R58:AT58 R60:AT60 R62:AT62 R64:AT64 R66:AT66 R68:AT68 R70:AT70 R72:AT72 R74:AT74 J10:P10 J12:P12 J14:P14 J150:P150 J128:P128 J130:P130 J132:P132 J134:P134 J136:P136 J138:P138 J140:P140 J142:P142 J144:P144 J146:P146 J124:P124 J126:P126 J104:P104 J106:P106 J108:P108 J110:P110 J112:P112 J114:P114 J116:P116 J118:P118 J120:P120 J122:P122 J100:P100 J102:P102 J80:P80 J82:P82 J84:P84 J86:P86 J88:P88 J90:P90 J92:P92 J94:P94 J96:P96 J98:P98 J76:P76 J78:P78 J16:P16 J18:P18 J20:P20 J22:P22 J24:P24 J26:P26 J28:P28 J30:P30 J32:P32 J34:P34 J36:P36 J38:P38 J40:P40 J42:P42 J44:P44 J46:P46 J48:P48 J50:P50 J52:P52 J54:P54 J56:P56 J58:P58 J60:P60 J62:P62 J64:P64 J66:P66 J68:P68 J70:P70 J72:P72 J74:P74 J148:P148" xr:uid="{5B7EC075-BC45-41B2-9DB1-1D8DBC4AE17C}">
      <formula1>$BA$9:$BA$11</formula1>
    </dataValidation>
    <dataValidation type="list" allowBlank="1" showInputMessage="1" showErrorMessage="1" sqref="J9:P9 R151:AT151 R9:AT9 R11:AT11 R13:AT13 R149:AT149 R147:AT147 R145:AT145 R143:AT143 R141:AT141 R139:AT139 R137:AT137 R135:AT135 R133:AT133 R131:AT131 R129:AT129 R127:AT127 R125:AT125 R123:AT123 R121:AT121 R119:AT119 R117:AT117 R115:AT115 R113:AT113 R111:AT111 R109:AT109 R107:AT107 R105:AT105 R103:AT103 R101:AT101 R99:AT99 R97:AT97 R95:AT95 R93:AT93 R91:AT91 R89:AT89 R87:AT87 R85:AT85 R83:AT83 R81:AT81 R79:AT79 R77:AT77 R75:AT75 R73:AT73 R71:AT71 R69:AT69 R67:AT67 R65:AT65 R63:AT63 R61:AT61 R59:AT59 R57:AT57 R55:AT55 R53:AT53 R51:AT51 R49:AT49 R47:AT47 R45:AT45 R43:AT43 R41:AT41 R39:AT39 R37:AT37 R35:AT35 R33:AT33 R31:AT31 R29:AT29 R27:AT27 R25:AT25 R23:AT23 R21:AT21 R19:AT19 R17:AT17 R15:AT15 J11:P11 J13:P13 J149:P149 J147:P147 J145:P145 J143:P143 J141:P141 J139:P139 J137:P137 J135:P135 J133:P133 J131:P131 J129:P129 J127:P127 J125:P125 J123:P123 J121:P121 J119:P119 J117:P117 J115:P115 J113:P113 J111:P111 J109:P109 J107:P107 J105:P105 J103:P103 J101:P101 J99:P99 J97:P97 J95:P95 J93:P93 J91:P91 J89:P89 J87:P87 J85:P85 J83:P83 J81:P81 J79:P79 J77:P77 J75:P75 J73:P73 J71:P71 J69:P69 J67:P67 J65:P65 J63:P63 J61:P61 J59:P59 J57:P57 J55:P55 J53:P53 J51:P51 J49:P49 J47:P47 J45:P45 J43:P43 J41:P41 J39:P39 J37:P37 J35:P35 J33:P33 J31:P31 J29:P29 J27:P27 J25:P25 J23:P23 J21:P21 J19:P19 J17:P17 J15:P15 J151:P151" xr:uid="{3E60CA24-0A72-4128-9658-0591119AE6D2}">
      <formula1>$BB$9:$BB$30</formula1>
    </dataValidation>
    <dataValidation type="list" allowBlank="1" showInputMessage="1" showErrorMessage="1" sqref="Q11 Q13 Q149 Q147 Q145 Q143 Q141 Q139 Q137 Q135 Q133 Q131 Q129 Q127 Q125 Q123 Q121 Q119 Q117 Q115 Q113 Q111 Q109 Q107 Q105 Q103 Q101 Q99 Q97 Q95 Q93 Q91 Q89 Q87 Q85 Q83 Q81 Q79 Q77 Q75 Q73 Q71 Q69 Q67 Q65 Q63 Q61 Q59 Q57 Q55 Q53 Q51 Q49 Q47 Q45 Q43 Q41 Q39 Q37 Q35 Q33 Q31 Q29 Q27 Q25 Q23 Q21 Q19 Q17 Q15 Q151 Q9" xr:uid="{ADFFD196-53C9-4D85-9634-F6D73DEB9196}">
      <formula1>$AZ$9:$AZ$30</formula1>
    </dataValidation>
    <dataValidation type="list" allowBlank="1" showInputMessage="1" showErrorMessage="1" sqref="Q10 Q12 Q14 Q150 Q128 Q130 Q132 Q134 Q136 Q138 Q140 Q142 Q144 Q146 Q124 Q126 Q104 Q106 Q108 Q110 Q112 Q114 Q116 Q118 Q120 Q122 Q100 Q102 Q80 Q82 Q84 Q86 Q88 Q90 Q92 Q94 Q96 Q98 Q76 Q78 Q16 Q18 Q20 Q22 Q24 Q26 Q28 Q30 Q32 Q34 Q36 Q38 Q40 Q42 Q44 Q46 Q48 Q50 Q52 Q54 Q56 Q58 Q60 Q62 Q64 Q66 Q68 Q70 Q72 Q74 Q148 Q8" xr:uid="{1DDA9C92-54DB-45E3-8B41-09E3B05DA2A3}">
      <formula1>$AY$9:$AY$11</formula1>
    </dataValidation>
  </dataValidations>
  <pageMargins left="0.25" right="0.25"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A4C09-F8BA-4D85-A889-56C265E54D2D}">
  <sheetPr>
    <tabColor rgb="FF00B050"/>
  </sheetPr>
  <dimension ref="A2:K76"/>
  <sheetViews>
    <sheetView workbookViewId="0">
      <selection activeCell="M52" sqref="M52"/>
    </sheetView>
  </sheetViews>
  <sheetFormatPr baseColWidth="10" defaultRowHeight="14.4" x14ac:dyDescent="0.3"/>
  <cols>
    <col min="4" max="4" width="12.33203125" customWidth="1"/>
  </cols>
  <sheetData>
    <row r="2" spans="1:11" x14ac:dyDescent="0.3">
      <c r="C2" t="s">
        <v>159</v>
      </c>
    </row>
    <row r="5" spans="1:11" x14ac:dyDescent="0.3">
      <c r="A5">
        <v>8</v>
      </c>
      <c r="B5">
        <v>8</v>
      </c>
      <c r="C5">
        <v>9</v>
      </c>
      <c r="D5" t="s">
        <v>161</v>
      </c>
      <c r="E5" s="70" t="s">
        <v>160</v>
      </c>
      <c r="F5" s="70" t="s">
        <v>162</v>
      </c>
      <c r="G5" s="70" t="s">
        <v>163</v>
      </c>
      <c r="H5" t="str">
        <f>CONCATENATE(D5,A5,E5,B5,F5,C5,G5)</f>
        <v>SUMA(Y($G$8="",$H$8="",J9=0)+</v>
      </c>
      <c r="K5" t="str">
        <f>CONCATENATE(H5,H6,H7,H8,H9,H10,H11,H12,H13,H14,H15,H16,H17,H18,H19,H20,H21,H22,H23,H24,H25,H26,H27,H28,H29,H30,H31,H32,H33,H34,H35,H36,H37,H38,H39,H40)</f>
        <v>SUMA(Y($G$8="",$H$8="",J9=0)+Y($G$10="",$H$10="",J11=0)+Y($G$12="",$H$12="",J13=0)+Y($G$14="",$H$14="",J15=0)+Y($G$16="",$H$16="",J17=0)+Y($G$18="",$H$18="",J19=0)+Y($G$20="",$H$20="",J21=0)+Y($G$22="",$H$22="",J23=0)+Y($G$24="",$H$24="",J25=0)+Y($G$26="",$H$26="",J27=0)+Y($G$28="",$H$28="",J29=0)+Y($G$30="",$H$30="",J31=0)+Y($G$32="",$H$32="",J33=0)+Y($G$34="",$H$34="",J35=0)+Y($G$36="",$H$36="",J37=0)+Y($G$38="",$H$38="",J39=0)+Y($G$40="",$H$40="",J41=0)+Y($G$42="",$H$42="",J43=0)+Y($G$44="",$H$44="",J45=0)+Y($G$46="",$H$46="",J47=0)+Y($G$48="",$H$48="",J49=0)+Y($G$50="",$H$50="",J51=0)+Y($G$52="",$H$52="",J53=0)+Y($G$54="",$H$54="",J55=0)+Y($G$56="",$H$56="",J57=0)+Y($G$58="",$H$58="",J59=0)+Y($G$60="",$H$60="",J61=0)+Y($G$62="",$H$62="",J63=0)+Y($G$64="",$H$64="",J65=0)+Y($G$66="",$H$66="",J67=0)+Y($G$68="",$H$68="",J69=0)+Y($G$70="",$H$70="",J71=0)+Y($G$72="",$H$72="",J73=0)+Y($G$74="",$H$74="",J75=0)+Y($G$76="",$H$76="",J77=0)+Y($G$78="",$H$78="",J79=0)+</v>
      </c>
    </row>
    <row r="6" spans="1:11" x14ac:dyDescent="0.3">
      <c r="A6">
        <v>10</v>
      </c>
      <c r="B6">
        <v>10</v>
      </c>
      <c r="C6">
        <v>11</v>
      </c>
      <c r="D6" t="s">
        <v>164</v>
      </c>
      <c r="E6" s="70" t="s">
        <v>160</v>
      </c>
      <c r="F6" s="70" t="s">
        <v>162</v>
      </c>
      <c r="G6" s="70" t="s">
        <v>163</v>
      </c>
      <c r="H6" t="str">
        <f t="shared" ref="H6:H69" si="0">CONCATENATE(D6,A6,E6,B6,F6,C6,G6)</f>
        <v>Y($G$10="",$H$10="",J11=0)+</v>
      </c>
      <c r="K6" t="s">
        <v>165</v>
      </c>
    </row>
    <row r="7" spans="1:11" x14ac:dyDescent="0.3">
      <c r="A7">
        <v>12</v>
      </c>
      <c r="B7">
        <v>12</v>
      </c>
      <c r="C7">
        <v>13</v>
      </c>
      <c r="D7" t="s">
        <v>164</v>
      </c>
      <c r="E7" s="70" t="s">
        <v>160</v>
      </c>
      <c r="F7" s="70" t="s">
        <v>162</v>
      </c>
      <c r="G7" s="70" t="s">
        <v>163</v>
      </c>
      <c r="H7" t="str">
        <f t="shared" si="0"/>
        <v>Y($G$12="",$H$12="",J13=0)+</v>
      </c>
    </row>
    <row r="8" spans="1:11" x14ac:dyDescent="0.3">
      <c r="A8">
        <v>14</v>
      </c>
      <c r="B8">
        <v>14</v>
      </c>
      <c r="C8">
        <v>15</v>
      </c>
      <c r="D8" t="s">
        <v>164</v>
      </c>
      <c r="E8" s="70" t="s">
        <v>160</v>
      </c>
      <c r="F8" s="70" t="s">
        <v>162</v>
      </c>
      <c r="G8" s="70" t="s">
        <v>163</v>
      </c>
      <c r="H8" t="str">
        <f t="shared" si="0"/>
        <v>Y($G$14="",$H$14="",J15=0)+</v>
      </c>
    </row>
    <row r="9" spans="1:11" x14ac:dyDescent="0.3">
      <c r="A9">
        <v>16</v>
      </c>
      <c r="B9">
        <v>16</v>
      </c>
      <c r="C9">
        <v>17</v>
      </c>
      <c r="D9" t="s">
        <v>164</v>
      </c>
      <c r="E9" s="70" t="s">
        <v>160</v>
      </c>
      <c r="F9" s="70" t="s">
        <v>162</v>
      </c>
      <c r="G9" s="70" t="s">
        <v>163</v>
      </c>
      <c r="H9" t="str">
        <f t="shared" si="0"/>
        <v>Y($G$16="",$H$16="",J17=0)+</v>
      </c>
    </row>
    <row r="10" spans="1:11" x14ac:dyDescent="0.3">
      <c r="A10">
        <v>18</v>
      </c>
      <c r="B10">
        <v>18</v>
      </c>
      <c r="C10">
        <v>19</v>
      </c>
      <c r="D10" t="s">
        <v>164</v>
      </c>
      <c r="E10" s="70" t="s">
        <v>160</v>
      </c>
      <c r="F10" s="70" t="s">
        <v>162</v>
      </c>
      <c r="G10" s="70" t="s">
        <v>163</v>
      </c>
      <c r="H10" t="str">
        <f t="shared" si="0"/>
        <v>Y($G$18="",$H$18="",J19=0)+</v>
      </c>
    </row>
    <row r="11" spans="1:11" x14ac:dyDescent="0.3">
      <c r="A11">
        <v>20</v>
      </c>
      <c r="B11">
        <v>20</v>
      </c>
      <c r="C11">
        <v>21</v>
      </c>
      <c r="D11" t="s">
        <v>164</v>
      </c>
      <c r="E11" s="70" t="s">
        <v>160</v>
      </c>
      <c r="F11" s="70" t="s">
        <v>162</v>
      </c>
      <c r="G11" s="70" t="s">
        <v>163</v>
      </c>
      <c r="H11" t="str">
        <f t="shared" si="0"/>
        <v>Y($G$20="",$H$20="",J21=0)+</v>
      </c>
    </row>
    <row r="12" spans="1:11" x14ac:dyDescent="0.3">
      <c r="A12">
        <v>22</v>
      </c>
      <c r="B12">
        <v>22</v>
      </c>
      <c r="C12">
        <v>23</v>
      </c>
      <c r="D12" t="s">
        <v>164</v>
      </c>
      <c r="E12" s="70" t="s">
        <v>160</v>
      </c>
      <c r="F12" s="70" t="s">
        <v>162</v>
      </c>
      <c r="G12" s="70" t="s">
        <v>163</v>
      </c>
      <c r="H12" t="str">
        <f t="shared" si="0"/>
        <v>Y($G$22="",$H$22="",J23=0)+</v>
      </c>
    </row>
    <row r="13" spans="1:11" x14ac:dyDescent="0.3">
      <c r="A13">
        <v>24</v>
      </c>
      <c r="B13">
        <v>24</v>
      </c>
      <c r="C13">
        <v>25</v>
      </c>
      <c r="D13" t="s">
        <v>164</v>
      </c>
      <c r="E13" s="70" t="s">
        <v>160</v>
      </c>
      <c r="F13" s="70" t="s">
        <v>162</v>
      </c>
      <c r="G13" s="70" t="s">
        <v>163</v>
      </c>
      <c r="H13" t="str">
        <f t="shared" si="0"/>
        <v>Y($G$24="",$H$24="",J25=0)+</v>
      </c>
    </row>
    <row r="14" spans="1:11" x14ac:dyDescent="0.3">
      <c r="A14">
        <v>26</v>
      </c>
      <c r="B14">
        <v>26</v>
      </c>
      <c r="C14">
        <v>27</v>
      </c>
      <c r="D14" t="s">
        <v>164</v>
      </c>
      <c r="E14" s="70" t="s">
        <v>160</v>
      </c>
      <c r="F14" s="70" t="s">
        <v>162</v>
      </c>
      <c r="G14" s="70" t="s">
        <v>163</v>
      </c>
      <c r="H14" t="str">
        <f t="shared" si="0"/>
        <v>Y($G$26="",$H$26="",J27=0)+</v>
      </c>
    </row>
    <row r="15" spans="1:11" x14ac:dyDescent="0.3">
      <c r="A15">
        <v>28</v>
      </c>
      <c r="B15">
        <v>28</v>
      </c>
      <c r="C15">
        <v>29</v>
      </c>
      <c r="D15" t="s">
        <v>164</v>
      </c>
      <c r="E15" s="70" t="s">
        <v>160</v>
      </c>
      <c r="F15" s="70" t="s">
        <v>162</v>
      </c>
      <c r="G15" s="70" t="s">
        <v>163</v>
      </c>
      <c r="H15" t="str">
        <f t="shared" si="0"/>
        <v>Y($G$28="",$H$28="",J29=0)+</v>
      </c>
    </row>
    <row r="16" spans="1:11" x14ac:dyDescent="0.3">
      <c r="A16">
        <v>30</v>
      </c>
      <c r="B16">
        <v>30</v>
      </c>
      <c r="C16">
        <v>31</v>
      </c>
      <c r="D16" t="s">
        <v>164</v>
      </c>
      <c r="E16" s="70" t="s">
        <v>160</v>
      </c>
      <c r="F16" s="70" t="s">
        <v>162</v>
      </c>
      <c r="G16" s="70" t="s">
        <v>163</v>
      </c>
      <c r="H16" t="str">
        <f t="shared" si="0"/>
        <v>Y($G$30="",$H$30="",J31=0)+</v>
      </c>
    </row>
    <row r="17" spans="1:8" x14ac:dyDescent="0.3">
      <c r="A17">
        <v>32</v>
      </c>
      <c r="B17">
        <v>32</v>
      </c>
      <c r="C17">
        <v>33</v>
      </c>
      <c r="D17" t="s">
        <v>164</v>
      </c>
      <c r="E17" s="70" t="s">
        <v>160</v>
      </c>
      <c r="F17" s="70" t="s">
        <v>162</v>
      </c>
      <c r="G17" s="70" t="s">
        <v>163</v>
      </c>
      <c r="H17" t="str">
        <f t="shared" si="0"/>
        <v>Y($G$32="",$H$32="",J33=0)+</v>
      </c>
    </row>
    <row r="18" spans="1:8" x14ac:dyDescent="0.3">
      <c r="A18">
        <v>34</v>
      </c>
      <c r="B18">
        <v>34</v>
      </c>
      <c r="C18">
        <v>35</v>
      </c>
      <c r="D18" t="s">
        <v>164</v>
      </c>
      <c r="E18" s="70" t="s">
        <v>160</v>
      </c>
      <c r="F18" s="70" t="s">
        <v>162</v>
      </c>
      <c r="G18" s="70" t="s">
        <v>163</v>
      </c>
      <c r="H18" t="str">
        <f t="shared" si="0"/>
        <v>Y($G$34="",$H$34="",J35=0)+</v>
      </c>
    </row>
    <row r="19" spans="1:8" x14ac:dyDescent="0.3">
      <c r="A19">
        <v>36</v>
      </c>
      <c r="B19">
        <v>36</v>
      </c>
      <c r="C19">
        <v>37</v>
      </c>
      <c r="D19" t="s">
        <v>164</v>
      </c>
      <c r="E19" s="70" t="s">
        <v>160</v>
      </c>
      <c r="F19" s="70" t="s">
        <v>162</v>
      </c>
      <c r="G19" s="70" t="s">
        <v>163</v>
      </c>
      <c r="H19" t="str">
        <f t="shared" si="0"/>
        <v>Y($G$36="",$H$36="",J37=0)+</v>
      </c>
    </row>
    <row r="20" spans="1:8" x14ac:dyDescent="0.3">
      <c r="A20">
        <v>38</v>
      </c>
      <c r="B20">
        <v>38</v>
      </c>
      <c r="C20">
        <v>39</v>
      </c>
      <c r="D20" t="s">
        <v>164</v>
      </c>
      <c r="E20" s="70" t="s">
        <v>160</v>
      </c>
      <c r="F20" s="70" t="s">
        <v>162</v>
      </c>
      <c r="G20" s="70" t="s">
        <v>163</v>
      </c>
      <c r="H20" t="str">
        <f t="shared" si="0"/>
        <v>Y($G$38="",$H$38="",J39=0)+</v>
      </c>
    </row>
    <row r="21" spans="1:8" x14ac:dyDescent="0.3">
      <c r="A21">
        <v>40</v>
      </c>
      <c r="B21">
        <v>40</v>
      </c>
      <c r="C21">
        <v>41</v>
      </c>
      <c r="D21" t="s">
        <v>164</v>
      </c>
      <c r="E21" s="70" t="s">
        <v>160</v>
      </c>
      <c r="F21" s="70" t="s">
        <v>162</v>
      </c>
      <c r="G21" s="70" t="s">
        <v>163</v>
      </c>
      <c r="H21" t="str">
        <f t="shared" si="0"/>
        <v>Y($G$40="",$H$40="",J41=0)+</v>
      </c>
    </row>
    <row r="22" spans="1:8" x14ac:dyDescent="0.3">
      <c r="A22">
        <v>42</v>
      </c>
      <c r="B22">
        <v>42</v>
      </c>
      <c r="C22">
        <v>43</v>
      </c>
      <c r="D22" t="s">
        <v>164</v>
      </c>
      <c r="E22" s="70" t="s">
        <v>160</v>
      </c>
      <c r="F22" s="70" t="s">
        <v>162</v>
      </c>
      <c r="G22" s="70" t="s">
        <v>163</v>
      </c>
      <c r="H22" t="str">
        <f t="shared" si="0"/>
        <v>Y($G$42="",$H$42="",J43=0)+</v>
      </c>
    </row>
    <row r="23" spans="1:8" x14ac:dyDescent="0.3">
      <c r="A23">
        <v>44</v>
      </c>
      <c r="B23">
        <v>44</v>
      </c>
      <c r="C23">
        <v>45</v>
      </c>
      <c r="D23" t="s">
        <v>164</v>
      </c>
      <c r="E23" s="70" t="s">
        <v>160</v>
      </c>
      <c r="F23" s="70" t="s">
        <v>162</v>
      </c>
      <c r="G23" s="70" t="s">
        <v>163</v>
      </c>
      <c r="H23" t="str">
        <f t="shared" si="0"/>
        <v>Y($G$44="",$H$44="",J45=0)+</v>
      </c>
    </row>
    <row r="24" spans="1:8" x14ac:dyDescent="0.3">
      <c r="A24">
        <v>46</v>
      </c>
      <c r="B24">
        <v>46</v>
      </c>
      <c r="C24">
        <v>47</v>
      </c>
      <c r="D24" t="s">
        <v>164</v>
      </c>
      <c r="E24" s="70" t="s">
        <v>160</v>
      </c>
      <c r="F24" s="70" t="s">
        <v>162</v>
      </c>
      <c r="G24" s="70" t="s">
        <v>163</v>
      </c>
      <c r="H24" t="str">
        <f t="shared" si="0"/>
        <v>Y($G$46="",$H$46="",J47=0)+</v>
      </c>
    </row>
    <row r="25" spans="1:8" x14ac:dyDescent="0.3">
      <c r="A25">
        <v>48</v>
      </c>
      <c r="B25">
        <v>48</v>
      </c>
      <c r="C25">
        <v>49</v>
      </c>
      <c r="D25" t="s">
        <v>164</v>
      </c>
      <c r="E25" s="70" t="s">
        <v>160</v>
      </c>
      <c r="F25" s="70" t="s">
        <v>162</v>
      </c>
      <c r="G25" s="70" t="s">
        <v>163</v>
      </c>
      <c r="H25" t="str">
        <f t="shared" si="0"/>
        <v>Y($G$48="",$H$48="",J49=0)+</v>
      </c>
    </row>
    <row r="26" spans="1:8" x14ac:dyDescent="0.3">
      <c r="A26">
        <v>50</v>
      </c>
      <c r="B26">
        <v>50</v>
      </c>
      <c r="C26">
        <v>51</v>
      </c>
      <c r="D26" t="s">
        <v>164</v>
      </c>
      <c r="E26" s="70" t="s">
        <v>160</v>
      </c>
      <c r="F26" s="70" t="s">
        <v>162</v>
      </c>
      <c r="G26" s="70" t="s">
        <v>163</v>
      </c>
      <c r="H26" t="str">
        <f t="shared" si="0"/>
        <v>Y($G$50="",$H$50="",J51=0)+</v>
      </c>
    </row>
    <row r="27" spans="1:8" x14ac:dyDescent="0.3">
      <c r="A27">
        <v>52</v>
      </c>
      <c r="B27">
        <v>52</v>
      </c>
      <c r="C27">
        <v>53</v>
      </c>
      <c r="D27" t="s">
        <v>164</v>
      </c>
      <c r="E27" s="70" t="s">
        <v>160</v>
      </c>
      <c r="F27" s="70" t="s">
        <v>162</v>
      </c>
      <c r="G27" s="70" t="s">
        <v>163</v>
      </c>
      <c r="H27" t="str">
        <f t="shared" si="0"/>
        <v>Y($G$52="",$H$52="",J53=0)+</v>
      </c>
    </row>
    <row r="28" spans="1:8" x14ac:dyDescent="0.3">
      <c r="A28">
        <v>54</v>
      </c>
      <c r="B28">
        <v>54</v>
      </c>
      <c r="C28">
        <v>55</v>
      </c>
      <c r="D28" t="s">
        <v>164</v>
      </c>
      <c r="E28" s="70" t="s">
        <v>160</v>
      </c>
      <c r="F28" s="70" t="s">
        <v>162</v>
      </c>
      <c r="G28" s="70" t="s">
        <v>163</v>
      </c>
      <c r="H28" t="str">
        <f t="shared" si="0"/>
        <v>Y($G$54="",$H$54="",J55=0)+</v>
      </c>
    </row>
    <row r="29" spans="1:8" x14ac:dyDescent="0.3">
      <c r="A29">
        <v>56</v>
      </c>
      <c r="B29">
        <v>56</v>
      </c>
      <c r="C29">
        <v>57</v>
      </c>
      <c r="D29" t="s">
        <v>164</v>
      </c>
      <c r="E29" s="70" t="s">
        <v>160</v>
      </c>
      <c r="F29" s="70" t="s">
        <v>162</v>
      </c>
      <c r="G29" s="70" t="s">
        <v>163</v>
      </c>
      <c r="H29" t="str">
        <f t="shared" si="0"/>
        <v>Y($G$56="",$H$56="",J57=0)+</v>
      </c>
    </row>
    <row r="30" spans="1:8" x14ac:dyDescent="0.3">
      <c r="A30">
        <v>58</v>
      </c>
      <c r="B30">
        <v>58</v>
      </c>
      <c r="C30">
        <v>59</v>
      </c>
      <c r="D30" t="s">
        <v>164</v>
      </c>
      <c r="E30" s="70" t="s">
        <v>160</v>
      </c>
      <c r="F30" s="70" t="s">
        <v>162</v>
      </c>
      <c r="G30" s="70" t="s">
        <v>163</v>
      </c>
      <c r="H30" t="str">
        <f t="shared" si="0"/>
        <v>Y($G$58="",$H$58="",J59=0)+</v>
      </c>
    </row>
    <row r="31" spans="1:8" x14ac:dyDescent="0.3">
      <c r="A31">
        <v>60</v>
      </c>
      <c r="B31">
        <v>60</v>
      </c>
      <c r="C31">
        <v>61</v>
      </c>
      <c r="D31" t="s">
        <v>164</v>
      </c>
      <c r="E31" s="70" t="s">
        <v>160</v>
      </c>
      <c r="F31" s="70" t="s">
        <v>162</v>
      </c>
      <c r="G31" s="70" t="s">
        <v>163</v>
      </c>
      <c r="H31" t="str">
        <f t="shared" si="0"/>
        <v>Y($G$60="",$H$60="",J61=0)+</v>
      </c>
    </row>
    <row r="32" spans="1:8" x14ac:dyDescent="0.3">
      <c r="A32">
        <v>62</v>
      </c>
      <c r="B32">
        <v>62</v>
      </c>
      <c r="C32">
        <v>63</v>
      </c>
      <c r="D32" t="s">
        <v>164</v>
      </c>
      <c r="E32" s="70" t="s">
        <v>160</v>
      </c>
      <c r="F32" s="70" t="s">
        <v>162</v>
      </c>
      <c r="G32" s="70" t="s">
        <v>163</v>
      </c>
      <c r="H32" t="str">
        <f t="shared" si="0"/>
        <v>Y($G$62="",$H$62="",J63=0)+</v>
      </c>
    </row>
    <row r="33" spans="1:11" x14ac:dyDescent="0.3">
      <c r="A33">
        <v>64</v>
      </c>
      <c r="B33">
        <v>64</v>
      </c>
      <c r="C33">
        <v>65</v>
      </c>
      <c r="D33" t="s">
        <v>164</v>
      </c>
      <c r="E33" s="70" t="s">
        <v>160</v>
      </c>
      <c r="F33" s="70" t="s">
        <v>162</v>
      </c>
      <c r="G33" s="70" t="s">
        <v>163</v>
      </c>
      <c r="H33" t="str">
        <f t="shared" si="0"/>
        <v>Y($G$64="",$H$64="",J65=0)+</v>
      </c>
    </row>
    <row r="34" spans="1:11" x14ac:dyDescent="0.3">
      <c r="A34">
        <v>66</v>
      </c>
      <c r="B34">
        <v>66</v>
      </c>
      <c r="C34">
        <v>67</v>
      </c>
      <c r="D34" t="s">
        <v>164</v>
      </c>
      <c r="E34" s="70" t="s">
        <v>160</v>
      </c>
      <c r="F34" s="70" t="s">
        <v>162</v>
      </c>
      <c r="G34" s="70" t="s">
        <v>163</v>
      </c>
      <c r="H34" t="str">
        <f t="shared" si="0"/>
        <v>Y($G$66="",$H$66="",J67=0)+</v>
      </c>
    </row>
    <row r="35" spans="1:11" x14ac:dyDescent="0.3">
      <c r="A35">
        <v>68</v>
      </c>
      <c r="B35">
        <v>68</v>
      </c>
      <c r="C35">
        <v>69</v>
      </c>
      <c r="D35" t="s">
        <v>164</v>
      </c>
      <c r="E35" s="70" t="s">
        <v>160</v>
      </c>
      <c r="F35" s="70" t="s">
        <v>162</v>
      </c>
      <c r="G35" s="70" t="s">
        <v>163</v>
      </c>
      <c r="H35" t="str">
        <f t="shared" si="0"/>
        <v>Y($G$68="",$H$68="",J69=0)+</v>
      </c>
    </row>
    <row r="36" spans="1:11" x14ac:dyDescent="0.3">
      <c r="A36">
        <v>70</v>
      </c>
      <c r="B36">
        <v>70</v>
      </c>
      <c r="C36">
        <v>71</v>
      </c>
      <c r="D36" t="s">
        <v>164</v>
      </c>
      <c r="E36" s="70" t="s">
        <v>160</v>
      </c>
      <c r="F36" s="70" t="s">
        <v>162</v>
      </c>
      <c r="G36" s="70" t="s">
        <v>163</v>
      </c>
      <c r="H36" t="str">
        <f t="shared" si="0"/>
        <v>Y($G$70="",$H$70="",J71=0)+</v>
      </c>
    </row>
    <row r="37" spans="1:11" x14ac:dyDescent="0.3">
      <c r="A37">
        <v>72</v>
      </c>
      <c r="B37">
        <v>72</v>
      </c>
      <c r="C37">
        <v>73</v>
      </c>
      <c r="D37" t="s">
        <v>164</v>
      </c>
      <c r="E37" s="70" t="s">
        <v>160</v>
      </c>
      <c r="F37" s="70" t="s">
        <v>162</v>
      </c>
      <c r="G37" s="70" t="s">
        <v>163</v>
      </c>
      <c r="H37" t="str">
        <f t="shared" si="0"/>
        <v>Y($G$72="",$H$72="",J73=0)+</v>
      </c>
    </row>
    <row r="38" spans="1:11" x14ac:dyDescent="0.3">
      <c r="A38">
        <v>74</v>
      </c>
      <c r="B38">
        <v>74</v>
      </c>
      <c r="C38">
        <v>75</v>
      </c>
      <c r="D38" t="s">
        <v>164</v>
      </c>
      <c r="E38" s="70" t="s">
        <v>160</v>
      </c>
      <c r="F38" s="70" t="s">
        <v>162</v>
      </c>
      <c r="G38" s="70" t="s">
        <v>163</v>
      </c>
      <c r="H38" t="str">
        <f t="shared" si="0"/>
        <v>Y($G$74="",$H$74="",J75=0)+</v>
      </c>
    </row>
    <row r="39" spans="1:11" x14ac:dyDescent="0.3">
      <c r="A39">
        <v>76</v>
      </c>
      <c r="B39">
        <v>76</v>
      </c>
      <c r="C39">
        <v>77</v>
      </c>
      <c r="D39" t="s">
        <v>164</v>
      </c>
      <c r="E39" s="70" t="s">
        <v>160</v>
      </c>
      <c r="F39" s="70" t="s">
        <v>162</v>
      </c>
      <c r="G39" s="70" t="s">
        <v>163</v>
      </c>
      <c r="H39" t="str">
        <f t="shared" si="0"/>
        <v>Y($G$76="",$H$76="",J77=0)+</v>
      </c>
    </row>
    <row r="40" spans="1:11" x14ac:dyDescent="0.3">
      <c r="A40">
        <v>78</v>
      </c>
      <c r="B40">
        <v>78</v>
      </c>
      <c r="C40">
        <v>79</v>
      </c>
      <c r="D40" t="s">
        <v>164</v>
      </c>
      <c r="E40" s="70" t="s">
        <v>160</v>
      </c>
      <c r="F40" s="70" t="s">
        <v>162</v>
      </c>
      <c r="G40" s="70" t="s">
        <v>163</v>
      </c>
      <c r="H40" s="71" t="str">
        <f t="shared" si="0"/>
        <v>Y($G$78="",$H$78="",J79=0)+</v>
      </c>
    </row>
    <row r="41" spans="1:11" x14ac:dyDescent="0.3">
      <c r="A41">
        <v>80</v>
      </c>
      <c r="B41">
        <v>80</v>
      </c>
      <c r="C41">
        <v>81</v>
      </c>
      <c r="D41" t="s">
        <v>161</v>
      </c>
      <c r="E41" s="70" t="s">
        <v>160</v>
      </c>
      <c r="F41" s="70" t="s">
        <v>162</v>
      </c>
      <c r="G41" s="70" t="s">
        <v>163</v>
      </c>
      <c r="H41" t="str">
        <f t="shared" si="0"/>
        <v>SUMA(Y($G$80="",$H$80="",J81=0)+</v>
      </c>
      <c r="K41" t="str">
        <f>CONCATENATE(H41,H42,H43,H44,H45,H46,H47,H48,H49,H50,H51,H52,H53,H54,H55,H56,H57,H58,H59,H60,H61,H62,H63,H64,H65,H66,H67,H68,H69,H70,H71,H72,H73,H74,H75,H76)</f>
        <v>SUMA(Y($G$80="",$H$80="",J81=0)+Y($G$82="",$H$82="",J83=0)+Y($G$84="",$H$84="",J85=0)+Y($G$86="",$H$86="",J87=0)+Y($G$88="",$H$88="",J89=0)+Y($G$90="",$H$90="",J91=0)+Y($G$92="",$H$92="",J93=0)+Y($G$94="",$H$94="",J95=0)+Y($G$96="",$H$96="",J97=0)+Y($G$98="",$H$98="",J99=0)+Y($G$100="",$H$100="",J101=0)+Y($G$102="",$H$102="",J103=0)+Y($G$104="",$H$104="",J105=0)+Y($G$106="",$H$106="",J107=0)+Y($G$108="",$H$108="",J109=0)+Y($G$110="",$H$110="",J111=0)+Y($G$112="",$H$112="",J113=0)+Y($G$114="",$H$114="",J115=0)+Y($G$116="",$H$116="",J117=0)+Y($G$118="",$H$118="",J119=0)+Y($G$120="",$H$120="",J121=0)+Y($G$122="",$H$122="",J123=0)+Y($G$124="",$H$124="",J125=0)+Y($G$126="",$H$126="",J127=0)+Y($G$128="",$H$128="",J129=0)+Y($G$130="",$H$130="",J131=0)+Y($G$132="",$H$132="",J133=0)+Y($G$134="",$H$134="",J135=0)+Y($G$136="",$H$136="",J137=0)+Y($G$138="",$H$138="",J139=0)+Y($G$140="",$H$140="",J141=0)+Y($G$142="",$H$142="",J143=0)+Y($G$144="",$H$144="",J145=0)+Y($G$146="",$H$146="",J147=0)+Y($G$148="",$H$148="",J149=0)+Y($G$150="",$H$150="",J151=0)+</v>
      </c>
    </row>
    <row r="42" spans="1:11" x14ac:dyDescent="0.3">
      <c r="A42">
        <v>82</v>
      </c>
      <c r="B42">
        <v>82</v>
      </c>
      <c r="C42">
        <v>83</v>
      </c>
      <c r="D42" t="s">
        <v>164</v>
      </c>
      <c r="E42" s="70" t="s">
        <v>160</v>
      </c>
      <c r="F42" s="70" t="s">
        <v>162</v>
      </c>
      <c r="G42" s="70" t="s">
        <v>163</v>
      </c>
      <c r="H42" t="str">
        <f t="shared" si="0"/>
        <v>Y($G$82="",$H$82="",J83=0)+</v>
      </c>
      <c r="K42" t="s">
        <v>166</v>
      </c>
    </row>
    <row r="43" spans="1:11" x14ac:dyDescent="0.3">
      <c r="A43">
        <v>84</v>
      </c>
      <c r="B43">
        <v>84</v>
      </c>
      <c r="C43">
        <v>85</v>
      </c>
      <c r="D43" t="s">
        <v>164</v>
      </c>
      <c r="E43" s="70" t="s">
        <v>160</v>
      </c>
      <c r="F43" s="70" t="s">
        <v>162</v>
      </c>
      <c r="G43" s="70" t="s">
        <v>163</v>
      </c>
      <c r="H43" t="str">
        <f t="shared" si="0"/>
        <v>Y($G$84="",$H$84="",J85=0)+</v>
      </c>
    </row>
    <row r="44" spans="1:11" x14ac:dyDescent="0.3">
      <c r="A44">
        <v>86</v>
      </c>
      <c r="B44">
        <v>86</v>
      </c>
      <c r="C44">
        <v>87</v>
      </c>
      <c r="D44" t="s">
        <v>164</v>
      </c>
      <c r="E44" s="70" t="s">
        <v>160</v>
      </c>
      <c r="F44" s="70" t="s">
        <v>162</v>
      </c>
      <c r="G44" s="70" t="s">
        <v>163</v>
      </c>
      <c r="H44" t="str">
        <f t="shared" si="0"/>
        <v>Y($G$86="",$H$86="",J87=0)+</v>
      </c>
    </row>
    <row r="45" spans="1:11" x14ac:dyDescent="0.3">
      <c r="A45">
        <v>88</v>
      </c>
      <c r="B45">
        <v>88</v>
      </c>
      <c r="C45">
        <v>89</v>
      </c>
      <c r="D45" t="s">
        <v>164</v>
      </c>
      <c r="E45" s="70" t="s">
        <v>160</v>
      </c>
      <c r="F45" s="70" t="s">
        <v>162</v>
      </c>
      <c r="G45" s="70" t="s">
        <v>163</v>
      </c>
      <c r="H45" t="str">
        <f t="shared" si="0"/>
        <v>Y($G$88="",$H$88="",J89=0)+</v>
      </c>
    </row>
    <row r="46" spans="1:11" x14ac:dyDescent="0.3">
      <c r="A46">
        <v>90</v>
      </c>
      <c r="B46">
        <v>90</v>
      </c>
      <c r="C46">
        <v>91</v>
      </c>
      <c r="D46" t="s">
        <v>164</v>
      </c>
      <c r="E46" s="70" t="s">
        <v>160</v>
      </c>
      <c r="F46" s="70" t="s">
        <v>162</v>
      </c>
      <c r="G46" s="70" t="s">
        <v>163</v>
      </c>
      <c r="H46" t="str">
        <f t="shared" si="0"/>
        <v>Y($G$90="",$H$90="",J91=0)+</v>
      </c>
    </row>
    <row r="47" spans="1:11" x14ac:dyDescent="0.3">
      <c r="A47">
        <v>92</v>
      </c>
      <c r="B47">
        <v>92</v>
      </c>
      <c r="C47">
        <v>93</v>
      </c>
      <c r="D47" t="s">
        <v>164</v>
      </c>
      <c r="E47" s="70" t="s">
        <v>160</v>
      </c>
      <c r="F47" s="70" t="s">
        <v>162</v>
      </c>
      <c r="G47" s="70" t="s">
        <v>163</v>
      </c>
      <c r="H47" t="str">
        <f t="shared" si="0"/>
        <v>Y($G$92="",$H$92="",J93=0)+</v>
      </c>
    </row>
    <row r="48" spans="1:11" x14ac:dyDescent="0.3">
      <c r="A48">
        <v>94</v>
      </c>
      <c r="B48">
        <v>94</v>
      </c>
      <c r="C48">
        <v>95</v>
      </c>
      <c r="D48" t="s">
        <v>164</v>
      </c>
      <c r="E48" s="70" t="s">
        <v>160</v>
      </c>
      <c r="F48" s="70" t="s">
        <v>162</v>
      </c>
      <c r="G48" s="70" t="s">
        <v>163</v>
      </c>
      <c r="H48" t="str">
        <f t="shared" si="0"/>
        <v>Y($G$94="",$H$94="",J95=0)+</v>
      </c>
    </row>
    <row r="49" spans="1:8" x14ac:dyDescent="0.3">
      <c r="A49">
        <v>96</v>
      </c>
      <c r="B49">
        <v>96</v>
      </c>
      <c r="C49">
        <v>97</v>
      </c>
      <c r="D49" t="s">
        <v>164</v>
      </c>
      <c r="E49" s="70" t="s">
        <v>160</v>
      </c>
      <c r="F49" s="70" t="s">
        <v>162</v>
      </c>
      <c r="G49" s="70" t="s">
        <v>163</v>
      </c>
      <c r="H49" t="str">
        <f t="shared" si="0"/>
        <v>Y($G$96="",$H$96="",J97=0)+</v>
      </c>
    </row>
    <row r="50" spans="1:8" x14ac:dyDescent="0.3">
      <c r="A50">
        <v>98</v>
      </c>
      <c r="B50">
        <v>98</v>
      </c>
      <c r="C50">
        <v>99</v>
      </c>
      <c r="D50" t="s">
        <v>164</v>
      </c>
      <c r="E50" s="70" t="s">
        <v>160</v>
      </c>
      <c r="F50" s="70" t="s">
        <v>162</v>
      </c>
      <c r="G50" s="70" t="s">
        <v>163</v>
      </c>
      <c r="H50" t="str">
        <f t="shared" si="0"/>
        <v>Y($G$98="",$H$98="",J99=0)+</v>
      </c>
    </row>
    <row r="51" spans="1:8" x14ac:dyDescent="0.3">
      <c r="A51">
        <v>100</v>
      </c>
      <c r="B51">
        <v>100</v>
      </c>
      <c r="C51">
        <v>101</v>
      </c>
      <c r="D51" t="s">
        <v>164</v>
      </c>
      <c r="E51" s="70" t="s">
        <v>160</v>
      </c>
      <c r="F51" s="70" t="s">
        <v>162</v>
      </c>
      <c r="G51" s="70" t="s">
        <v>163</v>
      </c>
      <c r="H51" t="str">
        <f t="shared" si="0"/>
        <v>Y($G$100="",$H$100="",J101=0)+</v>
      </c>
    </row>
    <row r="52" spans="1:8" x14ac:dyDescent="0.3">
      <c r="A52">
        <v>102</v>
      </c>
      <c r="B52">
        <v>102</v>
      </c>
      <c r="C52">
        <v>103</v>
      </c>
      <c r="D52" t="s">
        <v>164</v>
      </c>
      <c r="E52" s="70" t="s">
        <v>160</v>
      </c>
      <c r="F52" s="70" t="s">
        <v>162</v>
      </c>
      <c r="G52" s="70" t="s">
        <v>163</v>
      </c>
      <c r="H52" t="str">
        <f t="shared" si="0"/>
        <v>Y($G$102="",$H$102="",J103=0)+</v>
      </c>
    </row>
    <row r="53" spans="1:8" x14ac:dyDescent="0.3">
      <c r="A53">
        <v>104</v>
      </c>
      <c r="B53">
        <v>104</v>
      </c>
      <c r="C53">
        <v>105</v>
      </c>
      <c r="D53" t="s">
        <v>164</v>
      </c>
      <c r="E53" s="70" t="s">
        <v>160</v>
      </c>
      <c r="F53" s="70" t="s">
        <v>162</v>
      </c>
      <c r="G53" s="70" t="s">
        <v>163</v>
      </c>
      <c r="H53" t="str">
        <f t="shared" si="0"/>
        <v>Y($G$104="",$H$104="",J105=0)+</v>
      </c>
    </row>
    <row r="54" spans="1:8" x14ac:dyDescent="0.3">
      <c r="A54">
        <v>106</v>
      </c>
      <c r="B54">
        <v>106</v>
      </c>
      <c r="C54">
        <v>107</v>
      </c>
      <c r="D54" t="s">
        <v>164</v>
      </c>
      <c r="E54" s="70" t="s">
        <v>160</v>
      </c>
      <c r="F54" s="70" t="s">
        <v>162</v>
      </c>
      <c r="G54" s="70" t="s">
        <v>163</v>
      </c>
      <c r="H54" t="str">
        <f t="shared" si="0"/>
        <v>Y($G$106="",$H$106="",J107=0)+</v>
      </c>
    </row>
    <row r="55" spans="1:8" x14ac:dyDescent="0.3">
      <c r="A55">
        <v>108</v>
      </c>
      <c r="B55">
        <v>108</v>
      </c>
      <c r="C55">
        <v>109</v>
      </c>
      <c r="D55" t="s">
        <v>164</v>
      </c>
      <c r="E55" s="70" t="s">
        <v>160</v>
      </c>
      <c r="F55" s="70" t="s">
        <v>162</v>
      </c>
      <c r="G55" s="70" t="s">
        <v>163</v>
      </c>
      <c r="H55" t="str">
        <f t="shared" si="0"/>
        <v>Y($G$108="",$H$108="",J109=0)+</v>
      </c>
    </row>
    <row r="56" spans="1:8" x14ac:dyDescent="0.3">
      <c r="A56">
        <v>110</v>
      </c>
      <c r="B56">
        <v>110</v>
      </c>
      <c r="C56">
        <v>111</v>
      </c>
      <c r="D56" t="s">
        <v>164</v>
      </c>
      <c r="E56" s="70" t="s">
        <v>160</v>
      </c>
      <c r="F56" s="70" t="s">
        <v>162</v>
      </c>
      <c r="G56" s="70" t="s">
        <v>163</v>
      </c>
      <c r="H56" t="str">
        <f t="shared" si="0"/>
        <v>Y($G$110="",$H$110="",J111=0)+</v>
      </c>
    </row>
    <row r="57" spans="1:8" x14ac:dyDescent="0.3">
      <c r="A57">
        <v>112</v>
      </c>
      <c r="B57">
        <v>112</v>
      </c>
      <c r="C57">
        <v>113</v>
      </c>
      <c r="D57" t="s">
        <v>164</v>
      </c>
      <c r="E57" s="70" t="s">
        <v>160</v>
      </c>
      <c r="F57" s="70" t="s">
        <v>162</v>
      </c>
      <c r="G57" s="70" t="s">
        <v>163</v>
      </c>
      <c r="H57" t="str">
        <f t="shared" si="0"/>
        <v>Y($G$112="",$H$112="",J113=0)+</v>
      </c>
    </row>
    <row r="58" spans="1:8" x14ac:dyDescent="0.3">
      <c r="A58">
        <v>114</v>
      </c>
      <c r="B58">
        <v>114</v>
      </c>
      <c r="C58">
        <v>115</v>
      </c>
      <c r="D58" t="s">
        <v>164</v>
      </c>
      <c r="E58" s="70" t="s">
        <v>160</v>
      </c>
      <c r="F58" s="70" t="s">
        <v>162</v>
      </c>
      <c r="G58" s="70" t="s">
        <v>163</v>
      </c>
      <c r="H58" t="str">
        <f t="shared" si="0"/>
        <v>Y($G$114="",$H$114="",J115=0)+</v>
      </c>
    </row>
    <row r="59" spans="1:8" x14ac:dyDescent="0.3">
      <c r="A59">
        <v>116</v>
      </c>
      <c r="B59">
        <v>116</v>
      </c>
      <c r="C59">
        <v>117</v>
      </c>
      <c r="D59" t="s">
        <v>164</v>
      </c>
      <c r="E59" s="70" t="s">
        <v>160</v>
      </c>
      <c r="F59" s="70" t="s">
        <v>162</v>
      </c>
      <c r="G59" s="70" t="s">
        <v>163</v>
      </c>
      <c r="H59" t="str">
        <f t="shared" si="0"/>
        <v>Y($G$116="",$H$116="",J117=0)+</v>
      </c>
    </row>
    <row r="60" spans="1:8" x14ac:dyDescent="0.3">
      <c r="A60">
        <v>118</v>
      </c>
      <c r="B60">
        <v>118</v>
      </c>
      <c r="C60">
        <v>119</v>
      </c>
      <c r="D60" t="s">
        <v>164</v>
      </c>
      <c r="E60" s="70" t="s">
        <v>160</v>
      </c>
      <c r="F60" s="70" t="s">
        <v>162</v>
      </c>
      <c r="G60" s="70" t="s">
        <v>163</v>
      </c>
      <c r="H60" t="str">
        <f t="shared" si="0"/>
        <v>Y($G$118="",$H$118="",J119=0)+</v>
      </c>
    </row>
    <row r="61" spans="1:8" x14ac:dyDescent="0.3">
      <c r="A61">
        <v>120</v>
      </c>
      <c r="B61">
        <v>120</v>
      </c>
      <c r="C61">
        <v>121</v>
      </c>
      <c r="D61" t="s">
        <v>164</v>
      </c>
      <c r="E61" s="70" t="s">
        <v>160</v>
      </c>
      <c r="F61" s="70" t="s">
        <v>162</v>
      </c>
      <c r="G61" s="70" t="s">
        <v>163</v>
      </c>
      <c r="H61" t="str">
        <f t="shared" si="0"/>
        <v>Y($G$120="",$H$120="",J121=0)+</v>
      </c>
    </row>
    <row r="62" spans="1:8" x14ac:dyDescent="0.3">
      <c r="A62">
        <v>122</v>
      </c>
      <c r="B62">
        <v>122</v>
      </c>
      <c r="C62">
        <v>123</v>
      </c>
      <c r="D62" t="s">
        <v>164</v>
      </c>
      <c r="E62" s="70" t="s">
        <v>160</v>
      </c>
      <c r="F62" s="70" t="s">
        <v>162</v>
      </c>
      <c r="G62" s="70" t="s">
        <v>163</v>
      </c>
      <c r="H62" t="str">
        <f t="shared" si="0"/>
        <v>Y($G$122="",$H$122="",J123=0)+</v>
      </c>
    </row>
    <row r="63" spans="1:8" x14ac:dyDescent="0.3">
      <c r="A63">
        <v>124</v>
      </c>
      <c r="B63">
        <v>124</v>
      </c>
      <c r="C63">
        <v>125</v>
      </c>
      <c r="D63" t="s">
        <v>164</v>
      </c>
      <c r="E63" s="70" t="s">
        <v>160</v>
      </c>
      <c r="F63" s="70" t="s">
        <v>162</v>
      </c>
      <c r="G63" s="70" t="s">
        <v>163</v>
      </c>
      <c r="H63" t="str">
        <f t="shared" si="0"/>
        <v>Y($G$124="",$H$124="",J125=0)+</v>
      </c>
    </row>
    <row r="64" spans="1:8" x14ac:dyDescent="0.3">
      <c r="A64">
        <v>126</v>
      </c>
      <c r="B64">
        <v>126</v>
      </c>
      <c r="C64">
        <v>127</v>
      </c>
      <c r="D64" t="s">
        <v>164</v>
      </c>
      <c r="E64" s="70" t="s">
        <v>160</v>
      </c>
      <c r="F64" s="70" t="s">
        <v>162</v>
      </c>
      <c r="G64" s="70" t="s">
        <v>163</v>
      </c>
      <c r="H64" t="str">
        <f t="shared" si="0"/>
        <v>Y($G$126="",$H$126="",J127=0)+</v>
      </c>
    </row>
    <row r="65" spans="1:8" x14ac:dyDescent="0.3">
      <c r="A65">
        <v>128</v>
      </c>
      <c r="B65">
        <v>128</v>
      </c>
      <c r="C65">
        <v>129</v>
      </c>
      <c r="D65" t="s">
        <v>164</v>
      </c>
      <c r="E65" s="70" t="s">
        <v>160</v>
      </c>
      <c r="F65" s="70" t="s">
        <v>162</v>
      </c>
      <c r="G65" s="70" t="s">
        <v>163</v>
      </c>
      <c r="H65" t="str">
        <f t="shared" si="0"/>
        <v>Y($G$128="",$H$128="",J129=0)+</v>
      </c>
    </row>
    <row r="66" spans="1:8" x14ac:dyDescent="0.3">
      <c r="A66">
        <v>130</v>
      </c>
      <c r="B66">
        <v>130</v>
      </c>
      <c r="C66">
        <v>131</v>
      </c>
      <c r="D66" t="s">
        <v>164</v>
      </c>
      <c r="E66" s="70" t="s">
        <v>160</v>
      </c>
      <c r="F66" s="70" t="s">
        <v>162</v>
      </c>
      <c r="G66" s="70" t="s">
        <v>163</v>
      </c>
      <c r="H66" t="str">
        <f t="shared" si="0"/>
        <v>Y($G$130="",$H$130="",J131=0)+</v>
      </c>
    </row>
    <row r="67" spans="1:8" x14ac:dyDescent="0.3">
      <c r="A67">
        <v>132</v>
      </c>
      <c r="B67">
        <v>132</v>
      </c>
      <c r="C67">
        <v>133</v>
      </c>
      <c r="D67" t="s">
        <v>164</v>
      </c>
      <c r="E67" s="70" t="s">
        <v>160</v>
      </c>
      <c r="F67" s="70" t="s">
        <v>162</v>
      </c>
      <c r="G67" s="70" t="s">
        <v>163</v>
      </c>
      <c r="H67" t="str">
        <f t="shared" si="0"/>
        <v>Y($G$132="",$H$132="",J133=0)+</v>
      </c>
    </row>
    <row r="68" spans="1:8" x14ac:dyDescent="0.3">
      <c r="A68">
        <v>134</v>
      </c>
      <c r="B68">
        <v>134</v>
      </c>
      <c r="C68">
        <v>135</v>
      </c>
      <c r="D68" t="s">
        <v>164</v>
      </c>
      <c r="E68" s="70" t="s">
        <v>160</v>
      </c>
      <c r="F68" s="70" t="s">
        <v>162</v>
      </c>
      <c r="G68" s="70" t="s">
        <v>163</v>
      </c>
      <c r="H68" t="str">
        <f t="shared" si="0"/>
        <v>Y($G$134="",$H$134="",J135=0)+</v>
      </c>
    </row>
    <row r="69" spans="1:8" x14ac:dyDescent="0.3">
      <c r="A69">
        <v>136</v>
      </c>
      <c r="B69">
        <v>136</v>
      </c>
      <c r="C69">
        <v>137</v>
      </c>
      <c r="D69" t="s">
        <v>164</v>
      </c>
      <c r="E69" s="70" t="s">
        <v>160</v>
      </c>
      <c r="F69" s="70" t="s">
        <v>162</v>
      </c>
      <c r="G69" s="70" t="s">
        <v>163</v>
      </c>
      <c r="H69" t="str">
        <f t="shared" si="0"/>
        <v>Y($G$136="",$H$136="",J137=0)+</v>
      </c>
    </row>
    <row r="70" spans="1:8" x14ac:dyDescent="0.3">
      <c r="A70">
        <v>138</v>
      </c>
      <c r="B70">
        <v>138</v>
      </c>
      <c r="C70">
        <v>139</v>
      </c>
      <c r="D70" t="s">
        <v>164</v>
      </c>
      <c r="E70" s="70" t="s">
        <v>160</v>
      </c>
      <c r="F70" s="70" t="s">
        <v>162</v>
      </c>
      <c r="G70" s="70" t="s">
        <v>163</v>
      </c>
      <c r="H70" t="str">
        <f t="shared" ref="H70:H76" si="1">CONCATENATE(D70,A70,E70,B70,F70,C70,G70)</f>
        <v>Y($G$138="",$H$138="",J139=0)+</v>
      </c>
    </row>
    <row r="71" spans="1:8" x14ac:dyDescent="0.3">
      <c r="A71">
        <v>140</v>
      </c>
      <c r="B71">
        <v>140</v>
      </c>
      <c r="C71">
        <v>141</v>
      </c>
      <c r="D71" t="s">
        <v>164</v>
      </c>
      <c r="E71" s="70" t="s">
        <v>160</v>
      </c>
      <c r="F71" s="70" t="s">
        <v>162</v>
      </c>
      <c r="G71" s="70" t="s">
        <v>163</v>
      </c>
      <c r="H71" t="str">
        <f t="shared" si="1"/>
        <v>Y($G$140="",$H$140="",J141=0)+</v>
      </c>
    </row>
    <row r="72" spans="1:8" x14ac:dyDescent="0.3">
      <c r="A72">
        <v>142</v>
      </c>
      <c r="B72">
        <v>142</v>
      </c>
      <c r="C72">
        <v>143</v>
      </c>
      <c r="D72" t="s">
        <v>164</v>
      </c>
      <c r="E72" s="70" t="s">
        <v>160</v>
      </c>
      <c r="F72" s="70" t="s">
        <v>162</v>
      </c>
      <c r="G72" s="70" t="s">
        <v>163</v>
      </c>
      <c r="H72" t="str">
        <f t="shared" si="1"/>
        <v>Y($G$142="",$H$142="",J143=0)+</v>
      </c>
    </row>
    <row r="73" spans="1:8" x14ac:dyDescent="0.3">
      <c r="A73">
        <v>144</v>
      </c>
      <c r="B73">
        <v>144</v>
      </c>
      <c r="C73">
        <v>145</v>
      </c>
      <c r="D73" t="s">
        <v>164</v>
      </c>
      <c r="E73" s="70" t="s">
        <v>160</v>
      </c>
      <c r="F73" s="70" t="s">
        <v>162</v>
      </c>
      <c r="G73" s="70" t="s">
        <v>163</v>
      </c>
      <c r="H73" t="str">
        <f t="shared" si="1"/>
        <v>Y($G$144="",$H$144="",J145=0)+</v>
      </c>
    </row>
    <row r="74" spans="1:8" x14ac:dyDescent="0.3">
      <c r="A74">
        <v>146</v>
      </c>
      <c r="B74">
        <v>146</v>
      </c>
      <c r="C74">
        <v>147</v>
      </c>
      <c r="D74" t="s">
        <v>164</v>
      </c>
      <c r="E74" s="70" t="s">
        <v>160</v>
      </c>
      <c r="F74" s="70" t="s">
        <v>162</v>
      </c>
      <c r="G74" s="70" t="s">
        <v>163</v>
      </c>
      <c r="H74" t="str">
        <f t="shared" si="1"/>
        <v>Y($G$146="",$H$146="",J147=0)+</v>
      </c>
    </row>
    <row r="75" spans="1:8" x14ac:dyDescent="0.3">
      <c r="A75">
        <v>148</v>
      </c>
      <c r="B75">
        <v>148</v>
      </c>
      <c r="C75">
        <v>149</v>
      </c>
      <c r="D75" t="s">
        <v>164</v>
      </c>
      <c r="E75" s="70" t="s">
        <v>160</v>
      </c>
      <c r="F75" s="70" t="s">
        <v>162</v>
      </c>
      <c r="G75" s="70" t="s">
        <v>163</v>
      </c>
      <c r="H75" t="str">
        <f t="shared" si="1"/>
        <v>Y($G$148="",$H$148="",J149=0)+</v>
      </c>
    </row>
    <row r="76" spans="1:8" x14ac:dyDescent="0.3">
      <c r="A76">
        <v>150</v>
      </c>
      <c r="B76">
        <v>150</v>
      </c>
      <c r="C76">
        <v>151</v>
      </c>
      <c r="D76" t="s">
        <v>164</v>
      </c>
      <c r="E76" s="70" t="s">
        <v>160</v>
      </c>
      <c r="F76" s="70" t="s">
        <v>162</v>
      </c>
      <c r="G76" s="70" t="s">
        <v>163</v>
      </c>
      <c r="H76" t="str">
        <f t="shared" si="1"/>
        <v>Y($G$150="",$H$150="",J151=0)+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9836F-2D2A-4298-BFFC-4CA86438C608}">
  <sheetPr>
    <tabColor rgb="FF00B050"/>
  </sheetPr>
  <dimension ref="A1:AF65"/>
  <sheetViews>
    <sheetView showGridLines="0" zoomScale="80" zoomScaleNormal="80" workbookViewId="0">
      <pane xSplit="8" ySplit="3" topLeftCell="I4" activePane="bottomRight" state="frozen"/>
      <selection pane="topRight" activeCell="G1" sqref="G1"/>
      <selection pane="bottomLeft" activeCell="A4" sqref="A4"/>
      <selection pane="bottomRight" activeCell="E2" sqref="E2"/>
    </sheetView>
  </sheetViews>
  <sheetFormatPr baseColWidth="10" defaultColWidth="11.44140625" defaultRowHeight="14.4" x14ac:dyDescent="0.3"/>
  <cols>
    <col min="1" max="1" width="21" style="3" customWidth="1"/>
    <col min="2" max="2" width="13.88671875" style="3" customWidth="1"/>
    <col min="3" max="3" width="17.88671875" style="3" bestFit="1" customWidth="1"/>
    <col min="4" max="5" width="17.88671875" style="3" customWidth="1"/>
    <col min="6" max="7" width="6.109375" style="3" customWidth="1"/>
    <col min="8" max="8" width="15.44140625" style="3" customWidth="1"/>
    <col min="9" max="24" width="5.33203125" style="3" customWidth="1"/>
    <col min="25" max="30" width="11.44140625" style="3"/>
    <col min="31" max="32" width="0" style="3" hidden="1" customWidth="1"/>
    <col min="33" max="16384" width="11.44140625" style="3"/>
  </cols>
  <sheetData>
    <row r="1" spans="1:32" ht="37.5" customHeight="1" thickBot="1" x14ac:dyDescent="0.35">
      <c r="A1" s="142" t="s">
        <v>28</v>
      </c>
      <c r="B1" s="142"/>
      <c r="C1" s="142"/>
      <c r="D1" s="142"/>
      <c r="E1" s="142"/>
      <c r="F1" s="142"/>
      <c r="G1" s="142"/>
      <c r="H1" s="142"/>
      <c r="I1" s="44">
        <v>1</v>
      </c>
      <c r="J1" s="34">
        <v>2</v>
      </c>
      <c r="K1" s="34">
        <v>3</v>
      </c>
      <c r="L1" s="34">
        <v>4</v>
      </c>
      <c r="M1" s="34">
        <v>5</v>
      </c>
      <c r="N1" s="34">
        <v>6</v>
      </c>
      <c r="O1" s="34">
        <v>7</v>
      </c>
      <c r="P1" s="34">
        <v>8</v>
      </c>
      <c r="Q1" s="34">
        <v>9</v>
      </c>
      <c r="R1" s="37">
        <v>10</v>
      </c>
      <c r="S1" s="37">
        <v>11</v>
      </c>
      <c r="T1" s="37">
        <v>12</v>
      </c>
      <c r="U1" s="37">
        <v>13</v>
      </c>
      <c r="V1" s="37">
        <v>14</v>
      </c>
      <c r="W1" s="37">
        <v>15</v>
      </c>
      <c r="X1" s="37">
        <v>16</v>
      </c>
    </row>
    <row r="2" spans="1:32" ht="132.75" customHeight="1" thickTop="1" x14ac:dyDescent="0.3">
      <c r="A2" s="40"/>
      <c r="B2" s="40"/>
      <c r="C2" s="40"/>
      <c r="D2" s="40"/>
      <c r="E2" s="41"/>
      <c r="F2" s="143"/>
      <c r="G2" s="143"/>
      <c r="H2" s="144"/>
      <c r="I2" s="45"/>
      <c r="J2" s="35"/>
      <c r="K2" s="36"/>
      <c r="L2" s="36"/>
      <c r="M2" s="36"/>
      <c r="N2" s="36"/>
      <c r="O2" s="36"/>
      <c r="P2" s="36"/>
      <c r="Q2" s="36"/>
      <c r="R2" s="38"/>
      <c r="S2" s="38"/>
      <c r="T2" s="38"/>
      <c r="U2" s="38"/>
      <c r="V2" s="38"/>
      <c r="W2" s="38"/>
      <c r="X2" s="39"/>
    </row>
    <row r="3" spans="1:32" ht="28.8" x14ac:dyDescent="0.3">
      <c r="A3" s="6" t="s">
        <v>0</v>
      </c>
      <c r="B3" s="6" t="s">
        <v>74</v>
      </c>
      <c r="C3" s="6" t="s">
        <v>79</v>
      </c>
      <c r="D3" s="6" t="s">
        <v>5</v>
      </c>
      <c r="E3" s="6" t="s">
        <v>6</v>
      </c>
      <c r="F3" s="151" t="s">
        <v>75</v>
      </c>
      <c r="G3" s="151"/>
      <c r="H3" s="16" t="s">
        <v>8</v>
      </c>
      <c r="I3" s="20">
        <f>SUM(IF(I4=$H$4,3,0)+IF(I5=$F4+$G4,1,0)+IF(I6=$H$6,3,0)+IF(I7=$F6+$G6,1,0)+IF(I8=$H$8,3,0)+IF(I9=$F8+$G8,1,0)+IF(I10=$H$10,3,0)+IF(I11=$F10+$G10,1,0)
+IF(I12=$H$12,3,0)+IF(I13=$F12+$G12,1,0)+IF(I14=$H$14,3,0)+IF(I15=$F14+$G14,1,0)+IF(I16=$H$16,3,0)+IF(I17=$F16+$G16,1,0)+IF(I18=$H$18,3,0)+IF(I19=$F18+$G18,1,0)+IF(I20=$H$20,3,0)+IF(I21=$F20+$G20,1,0)+IF(I22=$H$22,3,0)+IF(I23=$F22+$G22,1,0)+IF(I24=$H$24,3,0)+IF(I25=$F24+$G24,1,0)+IF(I26=$H$26,3,0)+IF(I27=$F26+$G26,1,0)+IF(I28=$H$28,3,0)+IF(I29=$F28+$G28,1,0)+IF(I30=$H$30,3,0)+IF(I31=$F30+$G30,1,0)+IF(I32=$H$32,3,0)+IF(I33=$F32+$G32,1,0)+IF(I34=$H$34,3,0)+IF(I35=$F34+$G34,1,0))</f>
        <v>0</v>
      </c>
      <c r="J3" s="6">
        <f>SUM(IF(J4=$H$4,3,0)+IF(J5=$F4+$G4,1,0)+IF(J6=$H$6,3,0)+IF(J7=$F6+$G6,1,0)+IF(J8=$H$8,3,0)+IF(J9=$F8+$G8,1,0)+IF(J10=$H$10,3,0)+IF(J11=$F10+$G10,1,0)
+IF(J12=$H$12,3,0)+IF(J13=$F12+$G12,1,0)+IF(J14=$H$14,3,0)+IF(J15=$F14+$G14,1,0)+IF(J16=$H$16,3,0)+IF(J17=$F16+$G16,1,0)+IF(J18=$H$18,3,0)+IF(J19=$F18+$G18,1,0)+IF(J20=$H$20,3,0)+IF(J21=$F20+$G20,1,0)+IF(J22=$H$22,3,0)+IF(J23=$F22+$G22,1,0)+IF(J24=$H$24,3,0)+IF(J25=$F24+$G24,1,0)+IF(J26=$H$26,3,0)+IF(J27=$F26+$G26,1,0)+IF(J28=$H$28,3,0)+IF(J29=$F28+$G28,1,0)+IF(J30=$H$30,3,0)+IF(J31=$F30+$G30,1,0)+IF(J32=$H$32,3,0)+IF(J33=$F32+$G32,1,0)+IF(J34=$H$34,3,0)+IF(J35=$F34+$G34,1,0))</f>
        <v>0</v>
      </c>
      <c r="K3" s="6">
        <f t="shared" ref="K3:X3" si="0">SUM(IF(K4=$H$4,3,0)+IF(K5=$F4+$G4,1,0)+IF(K6=$H$6,3,0)+IF(K7=$F6+$G6,1,0)+IF(K8=$H$8,3,0)+IF(K9=$F8+$G8,1,0)+IF(K10=$H$10,3,0)+IF(K11=$F10+$G10,1,0)
+IF(K12=$H$12,3,0)+IF(K13=$F12+$G12,1,0)+IF(K14=$H$14,3,0)+IF(K15=$F14+$G14,1,0)+IF(K16=$H$16,3,0)+IF(K17=$F16+$G16,1,0)+IF(K18=$H$18,3,0)+IF(K19=$F18+$G18,1,0)+IF(K20=$H$20,3,0)+IF(K21=$F20+$G20,1,0)+IF(K22=$H$22,3,0)+IF(K23=$F22+$G22,1,0)+IF(K24=$H$24,3,0)+IF(K25=$F24+$G24,1,0)+IF(K26=$H$26,3,0)+IF(K27=$F26+$G26,1,0)+IF(K28=$H$28,3,0)+IF(K29=$F28+$G28,1,0)+IF(K30=$H$30,3,0)+IF(K31=$F30+$G30,1,0)+IF(K32=$H$32,3,0)+IF(K33=$F32+$G32,1,0)+IF(K34=$H$34,3,0)+IF(K35=$F34+$G34,1,0))</f>
        <v>0</v>
      </c>
      <c r="L3" s="6">
        <f t="shared" si="0"/>
        <v>0</v>
      </c>
      <c r="M3" s="6">
        <f t="shared" si="0"/>
        <v>0</v>
      </c>
      <c r="N3" s="6">
        <f t="shared" si="0"/>
        <v>0</v>
      </c>
      <c r="O3" s="6">
        <f t="shared" si="0"/>
        <v>0</v>
      </c>
      <c r="P3" s="6">
        <f t="shared" si="0"/>
        <v>0</v>
      </c>
      <c r="Q3" s="6">
        <f t="shared" si="0"/>
        <v>0</v>
      </c>
      <c r="R3" s="6">
        <f t="shared" si="0"/>
        <v>0</v>
      </c>
      <c r="S3" s="6">
        <f t="shared" si="0"/>
        <v>0</v>
      </c>
      <c r="T3" s="6">
        <f t="shared" si="0"/>
        <v>0</v>
      </c>
      <c r="U3" s="6">
        <f t="shared" si="0"/>
        <v>0</v>
      </c>
      <c r="V3" s="6">
        <f t="shared" si="0"/>
        <v>0</v>
      </c>
      <c r="W3" s="6">
        <f t="shared" si="0"/>
        <v>0</v>
      </c>
      <c r="X3" s="21">
        <f t="shared" si="0"/>
        <v>0</v>
      </c>
    </row>
    <row r="4" spans="1:32" ht="12.75" customHeight="1" x14ac:dyDescent="0.3">
      <c r="A4" s="120" t="s">
        <v>77</v>
      </c>
      <c r="B4" s="117">
        <v>46202</v>
      </c>
      <c r="C4" s="149" t="s">
        <v>80</v>
      </c>
      <c r="D4" s="149" t="s">
        <v>95</v>
      </c>
      <c r="E4" s="149" t="s">
        <v>96</v>
      </c>
      <c r="F4" s="130"/>
      <c r="G4" s="130"/>
      <c r="H4" s="134" t="str">
        <f>IF(F4="","-",IF(F4&gt;G4,"L",IF(F4=G4,"E",IF(F4&lt;G4,"V"))))</f>
        <v>-</v>
      </c>
      <c r="I4" s="46"/>
      <c r="J4" s="17"/>
      <c r="K4" s="17"/>
      <c r="L4" s="17"/>
      <c r="M4" s="17"/>
      <c r="N4" s="17"/>
      <c r="O4" s="17"/>
      <c r="P4" s="17"/>
      <c r="Q4" s="17"/>
      <c r="R4" s="17"/>
      <c r="S4" s="17"/>
      <c r="T4" s="17"/>
      <c r="U4" s="17"/>
      <c r="V4" s="17"/>
      <c r="W4" s="17"/>
      <c r="X4" s="22"/>
    </row>
    <row r="5" spans="1:32" ht="12.75" customHeight="1" x14ac:dyDescent="0.3">
      <c r="A5" s="121"/>
      <c r="B5" s="106"/>
      <c r="C5" s="150"/>
      <c r="D5" s="150"/>
      <c r="E5" s="150"/>
      <c r="F5" s="98"/>
      <c r="G5" s="98"/>
      <c r="H5" s="135"/>
      <c r="I5" s="23" t="s">
        <v>9</v>
      </c>
      <c r="J5" s="18" t="s">
        <v>9</v>
      </c>
      <c r="K5" s="18" t="s">
        <v>9</v>
      </c>
      <c r="L5" s="18" t="s">
        <v>9</v>
      </c>
      <c r="M5" s="18" t="s">
        <v>9</v>
      </c>
      <c r="N5" s="18" t="s">
        <v>9</v>
      </c>
      <c r="O5" s="18" t="s">
        <v>9</v>
      </c>
      <c r="P5" s="18" t="s">
        <v>9</v>
      </c>
      <c r="Q5" s="18" t="s">
        <v>9</v>
      </c>
      <c r="R5" s="18" t="s">
        <v>9</v>
      </c>
      <c r="S5" s="18" t="s">
        <v>9</v>
      </c>
      <c r="T5" s="18" t="s">
        <v>9</v>
      </c>
      <c r="U5" s="18" t="s">
        <v>9</v>
      </c>
      <c r="V5" s="18" t="s">
        <v>9</v>
      </c>
      <c r="W5" s="18" t="s">
        <v>9</v>
      </c>
      <c r="X5" s="24" t="s">
        <v>9</v>
      </c>
      <c r="AE5" s="47" t="s">
        <v>7</v>
      </c>
      <c r="AF5" s="48" t="s">
        <v>9</v>
      </c>
    </row>
    <row r="6" spans="1:32" ht="12.75" customHeight="1" x14ac:dyDescent="0.3">
      <c r="A6" s="121"/>
      <c r="B6" s="117">
        <v>46203</v>
      </c>
      <c r="C6" s="149" t="s">
        <v>81</v>
      </c>
      <c r="D6" s="149" t="s">
        <v>97</v>
      </c>
      <c r="E6" s="149" t="s">
        <v>98</v>
      </c>
      <c r="F6" s="130"/>
      <c r="G6" s="130"/>
      <c r="H6" s="134" t="str">
        <f t="shared" ref="H6:H34" si="1">IF(F6="","-",IF(F6&gt;G6,"L",IF(F6=G6,"E",IF(F6&lt;G6,"V"))))</f>
        <v>-</v>
      </c>
      <c r="I6" s="26"/>
      <c r="J6" s="13"/>
      <c r="K6" s="13"/>
      <c r="L6" s="13"/>
      <c r="M6" s="13"/>
      <c r="N6" s="13"/>
      <c r="O6" s="13"/>
      <c r="P6" s="13"/>
      <c r="Q6" s="13"/>
      <c r="R6" s="13"/>
      <c r="S6" s="13"/>
      <c r="T6" s="13"/>
      <c r="U6" s="13"/>
      <c r="V6" s="13"/>
      <c r="W6" s="13"/>
      <c r="X6" s="25"/>
      <c r="AE6" s="49" t="s">
        <v>16</v>
      </c>
      <c r="AF6" s="50">
        <v>0</v>
      </c>
    </row>
    <row r="7" spans="1:32" ht="12.75" customHeight="1" x14ac:dyDescent="0.3">
      <c r="A7" s="121"/>
      <c r="B7" s="106"/>
      <c r="C7" s="150"/>
      <c r="D7" s="150"/>
      <c r="E7" s="150"/>
      <c r="F7" s="98"/>
      <c r="G7" s="98"/>
      <c r="H7" s="135"/>
      <c r="I7" s="26" t="s">
        <v>9</v>
      </c>
      <c r="J7" s="13" t="s">
        <v>9</v>
      </c>
      <c r="K7" s="13" t="s">
        <v>9</v>
      </c>
      <c r="L7" s="13" t="s">
        <v>9</v>
      </c>
      <c r="M7" s="13" t="s">
        <v>9</v>
      </c>
      <c r="N7" s="13" t="s">
        <v>9</v>
      </c>
      <c r="O7" s="13" t="s">
        <v>9</v>
      </c>
      <c r="P7" s="13" t="s">
        <v>9</v>
      </c>
      <c r="Q7" s="13" t="s">
        <v>9</v>
      </c>
      <c r="R7" s="13" t="s">
        <v>9</v>
      </c>
      <c r="S7" s="13" t="s">
        <v>9</v>
      </c>
      <c r="T7" s="13" t="s">
        <v>9</v>
      </c>
      <c r="U7" s="13" t="s">
        <v>9</v>
      </c>
      <c r="V7" s="13" t="s">
        <v>9</v>
      </c>
      <c r="W7" s="13" t="s">
        <v>9</v>
      </c>
      <c r="X7" s="25" t="s">
        <v>9</v>
      </c>
      <c r="AE7" s="49" t="s">
        <v>15</v>
      </c>
      <c r="AF7" s="50">
        <v>1</v>
      </c>
    </row>
    <row r="8" spans="1:32" ht="12.75" customHeight="1" x14ac:dyDescent="0.3">
      <c r="A8" s="121"/>
      <c r="B8" s="117">
        <v>46201</v>
      </c>
      <c r="C8" s="149" t="s">
        <v>82</v>
      </c>
      <c r="D8" s="149" t="s">
        <v>99</v>
      </c>
      <c r="E8" s="149" t="s">
        <v>100</v>
      </c>
      <c r="F8" s="130"/>
      <c r="G8" s="130"/>
      <c r="H8" s="134" t="str">
        <f t="shared" si="1"/>
        <v>-</v>
      </c>
      <c r="I8" s="23"/>
      <c r="J8" s="18"/>
      <c r="K8" s="18"/>
      <c r="L8" s="18"/>
      <c r="M8" s="18"/>
      <c r="N8" s="18"/>
      <c r="O8" s="18"/>
      <c r="P8" s="18"/>
      <c r="Q8" s="18"/>
      <c r="R8" s="18"/>
      <c r="S8" s="18"/>
      <c r="T8" s="18"/>
      <c r="U8" s="18"/>
      <c r="V8" s="18"/>
      <c r="W8" s="18"/>
      <c r="X8" s="24"/>
      <c r="AE8" s="49"/>
      <c r="AF8" s="50">
        <v>2</v>
      </c>
    </row>
    <row r="9" spans="1:32" ht="12.75" customHeight="1" x14ac:dyDescent="0.3">
      <c r="A9" s="121"/>
      <c r="B9" s="106"/>
      <c r="C9" s="150"/>
      <c r="D9" s="150"/>
      <c r="E9" s="150"/>
      <c r="F9" s="98"/>
      <c r="G9" s="98"/>
      <c r="H9" s="135"/>
      <c r="I9" s="23" t="s">
        <v>9</v>
      </c>
      <c r="J9" s="18" t="s">
        <v>9</v>
      </c>
      <c r="K9" s="18" t="s">
        <v>9</v>
      </c>
      <c r="L9" s="18" t="s">
        <v>9</v>
      </c>
      <c r="M9" s="18" t="s">
        <v>9</v>
      </c>
      <c r="N9" s="18" t="s">
        <v>9</v>
      </c>
      <c r="O9" s="18" t="s">
        <v>9</v>
      </c>
      <c r="P9" s="18" t="s">
        <v>9</v>
      </c>
      <c r="Q9" s="18" t="s">
        <v>9</v>
      </c>
      <c r="R9" s="18" t="s">
        <v>9</v>
      </c>
      <c r="S9" s="18" t="s">
        <v>9</v>
      </c>
      <c r="T9" s="18" t="s">
        <v>9</v>
      </c>
      <c r="U9" s="18" t="s">
        <v>9</v>
      </c>
      <c r="V9" s="18" t="s">
        <v>9</v>
      </c>
      <c r="W9" s="18" t="s">
        <v>9</v>
      </c>
      <c r="X9" s="24" t="s">
        <v>9</v>
      </c>
      <c r="AE9" s="49"/>
      <c r="AF9" s="50">
        <v>3</v>
      </c>
    </row>
    <row r="10" spans="1:32" ht="12.75" customHeight="1" x14ac:dyDescent="0.3">
      <c r="A10" s="121"/>
      <c r="B10" s="117">
        <v>46202</v>
      </c>
      <c r="C10" s="149" t="s">
        <v>83</v>
      </c>
      <c r="D10" s="149" t="s">
        <v>101</v>
      </c>
      <c r="E10" s="149" t="s">
        <v>102</v>
      </c>
      <c r="F10" s="130"/>
      <c r="G10" s="130"/>
      <c r="H10" s="134" t="str">
        <f t="shared" si="1"/>
        <v>-</v>
      </c>
      <c r="I10" s="26"/>
      <c r="J10" s="13"/>
      <c r="K10" s="13"/>
      <c r="L10" s="13"/>
      <c r="M10" s="13"/>
      <c r="N10" s="13"/>
      <c r="O10" s="13"/>
      <c r="P10" s="13"/>
      <c r="Q10" s="13"/>
      <c r="R10" s="13"/>
      <c r="S10" s="13"/>
      <c r="T10" s="13"/>
      <c r="U10" s="13"/>
      <c r="V10" s="13"/>
      <c r="W10" s="13"/>
      <c r="X10" s="25"/>
      <c r="AE10" s="49"/>
      <c r="AF10" s="50">
        <v>4</v>
      </c>
    </row>
    <row r="11" spans="1:32" ht="12.75" customHeight="1" x14ac:dyDescent="0.3">
      <c r="A11" s="121"/>
      <c r="B11" s="106"/>
      <c r="C11" s="150"/>
      <c r="D11" s="150"/>
      <c r="E11" s="150"/>
      <c r="F11" s="98"/>
      <c r="G11" s="98"/>
      <c r="H11" s="135"/>
      <c r="I11" s="26" t="s">
        <v>9</v>
      </c>
      <c r="J11" s="13" t="s">
        <v>9</v>
      </c>
      <c r="K11" s="13" t="s">
        <v>9</v>
      </c>
      <c r="L11" s="13" t="s">
        <v>9</v>
      </c>
      <c r="M11" s="13" t="s">
        <v>9</v>
      </c>
      <c r="N11" s="13" t="s">
        <v>9</v>
      </c>
      <c r="O11" s="13" t="s">
        <v>9</v>
      </c>
      <c r="P11" s="13" t="s">
        <v>9</v>
      </c>
      <c r="Q11" s="13" t="s">
        <v>9</v>
      </c>
      <c r="R11" s="13" t="s">
        <v>9</v>
      </c>
      <c r="S11" s="13" t="s">
        <v>9</v>
      </c>
      <c r="T11" s="13" t="s">
        <v>9</v>
      </c>
      <c r="U11" s="13" t="s">
        <v>9</v>
      </c>
      <c r="V11" s="13" t="s">
        <v>9</v>
      </c>
      <c r="W11" s="13" t="s">
        <v>9</v>
      </c>
      <c r="X11" s="25" t="s">
        <v>9</v>
      </c>
      <c r="AE11" s="49"/>
      <c r="AF11" s="50">
        <v>5</v>
      </c>
    </row>
    <row r="12" spans="1:32" ht="12.75" customHeight="1" x14ac:dyDescent="0.3">
      <c r="A12" s="121"/>
      <c r="B12" s="116">
        <v>46205</v>
      </c>
      <c r="C12" s="154" t="s">
        <v>84</v>
      </c>
      <c r="D12" s="154" t="s">
        <v>103</v>
      </c>
      <c r="E12" s="154" t="s">
        <v>104</v>
      </c>
      <c r="F12" s="125"/>
      <c r="G12" s="125"/>
      <c r="H12" s="123" t="str">
        <f t="shared" si="1"/>
        <v>-</v>
      </c>
      <c r="I12" s="27"/>
      <c r="J12" s="19"/>
      <c r="K12" s="19"/>
      <c r="L12" s="19"/>
      <c r="M12" s="19"/>
      <c r="N12" s="19"/>
      <c r="O12" s="19"/>
      <c r="P12" s="19"/>
      <c r="Q12" s="19"/>
      <c r="R12" s="19"/>
      <c r="S12" s="19"/>
      <c r="T12" s="19"/>
      <c r="U12" s="19"/>
      <c r="V12" s="19"/>
      <c r="W12" s="19"/>
      <c r="X12" s="28"/>
      <c r="AE12" s="49"/>
      <c r="AF12" s="50">
        <v>10</v>
      </c>
    </row>
    <row r="13" spans="1:32" ht="12.75" customHeight="1" x14ac:dyDescent="0.3">
      <c r="A13" s="121"/>
      <c r="B13" s="108"/>
      <c r="C13" s="153"/>
      <c r="D13" s="153"/>
      <c r="E13" s="153"/>
      <c r="F13" s="100"/>
      <c r="G13" s="100"/>
      <c r="H13" s="124"/>
      <c r="I13" s="27" t="s">
        <v>9</v>
      </c>
      <c r="J13" s="19" t="s">
        <v>9</v>
      </c>
      <c r="K13" s="19" t="s">
        <v>9</v>
      </c>
      <c r="L13" s="19" t="s">
        <v>9</v>
      </c>
      <c r="M13" s="19" t="s">
        <v>9</v>
      </c>
      <c r="N13" s="19" t="s">
        <v>9</v>
      </c>
      <c r="O13" s="19" t="s">
        <v>9</v>
      </c>
      <c r="P13" s="19" t="s">
        <v>9</v>
      </c>
      <c r="Q13" s="19" t="s">
        <v>9</v>
      </c>
      <c r="R13" s="19" t="s">
        <v>9</v>
      </c>
      <c r="S13" s="19" t="s">
        <v>9</v>
      </c>
      <c r="T13" s="19" t="s">
        <v>9</v>
      </c>
      <c r="U13" s="19" t="s">
        <v>9</v>
      </c>
      <c r="V13" s="19" t="s">
        <v>9</v>
      </c>
      <c r="W13" s="19" t="s">
        <v>9</v>
      </c>
      <c r="X13" s="28" t="s">
        <v>9</v>
      </c>
      <c r="AE13" s="49"/>
      <c r="AF13" s="50">
        <v>11</v>
      </c>
    </row>
    <row r="14" spans="1:32" ht="12.75" customHeight="1" x14ac:dyDescent="0.3">
      <c r="A14" s="121"/>
      <c r="B14" s="116">
        <v>46205</v>
      </c>
      <c r="C14" s="154" t="s">
        <v>82</v>
      </c>
      <c r="D14" s="152" t="s">
        <v>105</v>
      </c>
      <c r="E14" s="154" t="s">
        <v>106</v>
      </c>
      <c r="F14" s="125"/>
      <c r="G14" s="125"/>
      <c r="H14" s="123" t="str">
        <f t="shared" si="1"/>
        <v>-</v>
      </c>
      <c r="I14" s="26"/>
      <c r="J14" s="13"/>
      <c r="K14" s="13"/>
      <c r="L14" s="13"/>
      <c r="M14" s="13"/>
      <c r="N14" s="13"/>
      <c r="O14" s="13"/>
      <c r="P14" s="13"/>
      <c r="Q14" s="13"/>
      <c r="R14" s="13"/>
      <c r="S14" s="13"/>
      <c r="T14" s="13"/>
      <c r="U14" s="13"/>
      <c r="V14" s="13"/>
      <c r="W14" s="13"/>
      <c r="X14" s="25"/>
      <c r="AE14" s="49"/>
      <c r="AF14" s="50">
        <v>12</v>
      </c>
    </row>
    <row r="15" spans="1:32" ht="12.75" customHeight="1" x14ac:dyDescent="0.3">
      <c r="A15" s="121"/>
      <c r="B15" s="108"/>
      <c r="C15" s="153"/>
      <c r="D15" s="153"/>
      <c r="E15" s="153"/>
      <c r="F15" s="100"/>
      <c r="G15" s="100"/>
      <c r="H15" s="124"/>
      <c r="I15" s="26" t="s">
        <v>9</v>
      </c>
      <c r="J15" s="13" t="s">
        <v>9</v>
      </c>
      <c r="K15" s="13" t="s">
        <v>9</v>
      </c>
      <c r="L15" s="13" t="s">
        <v>9</v>
      </c>
      <c r="M15" s="13" t="s">
        <v>9</v>
      </c>
      <c r="N15" s="13" t="s">
        <v>9</v>
      </c>
      <c r="O15" s="13" t="s">
        <v>9</v>
      </c>
      <c r="P15" s="13" t="s">
        <v>9</v>
      </c>
      <c r="Q15" s="13" t="s">
        <v>9</v>
      </c>
      <c r="R15" s="13" t="s">
        <v>9</v>
      </c>
      <c r="S15" s="13" t="s">
        <v>9</v>
      </c>
      <c r="T15" s="13" t="s">
        <v>9</v>
      </c>
      <c r="U15" s="13" t="s">
        <v>9</v>
      </c>
      <c r="V15" s="13" t="s">
        <v>9</v>
      </c>
      <c r="W15" s="13" t="s">
        <v>9</v>
      </c>
      <c r="X15" s="25" t="s">
        <v>9</v>
      </c>
      <c r="AE15" s="49"/>
      <c r="AF15" s="50">
        <v>13</v>
      </c>
    </row>
    <row r="16" spans="1:32" ht="12.75" customHeight="1" x14ac:dyDescent="0.3">
      <c r="A16" s="121"/>
      <c r="B16" s="116">
        <v>46204</v>
      </c>
      <c r="C16" s="154" t="s">
        <v>85</v>
      </c>
      <c r="D16" s="154" t="s">
        <v>107</v>
      </c>
      <c r="E16" s="154" t="s">
        <v>108</v>
      </c>
      <c r="F16" s="125"/>
      <c r="G16" s="125"/>
      <c r="H16" s="123" t="str">
        <f t="shared" si="1"/>
        <v>-</v>
      </c>
      <c r="I16" s="27"/>
      <c r="J16" s="19"/>
      <c r="K16" s="19"/>
      <c r="L16" s="19"/>
      <c r="M16" s="19"/>
      <c r="N16" s="19"/>
      <c r="O16" s="19"/>
      <c r="P16" s="19"/>
      <c r="Q16" s="19"/>
      <c r="R16" s="19"/>
      <c r="S16" s="19"/>
      <c r="T16" s="19"/>
      <c r="U16" s="19"/>
      <c r="V16" s="19"/>
      <c r="W16" s="19"/>
      <c r="X16" s="28"/>
      <c r="AE16" s="49"/>
      <c r="AF16" s="50">
        <v>14</v>
      </c>
    </row>
    <row r="17" spans="1:32" ht="12.75" customHeight="1" x14ac:dyDescent="0.3">
      <c r="A17" s="121"/>
      <c r="B17" s="108"/>
      <c r="C17" s="153"/>
      <c r="D17" s="153"/>
      <c r="E17" s="153"/>
      <c r="F17" s="100"/>
      <c r="G17" s="100"/>
      <c r="H17" s="124"/>
      <c r="I17" s="27" t="s">
        <v>9</v>
      </c>
      <c r="J17" s="19" t="s">
        <v>9</v>
      </c>
      <c r="K17" s="19" t="s">
        <v>9</v>
      </c>
      <c r="L17" s="19" t="s">
        <v>9</v>
      </c>
      <c r="M17" s="19" t="s">
        <v>9</v>
      </c>
      <c r="N17" s="19" t="s">
        <v>9</v>
      </c>
      <c r="O17" s="19" t="s">
        <v>9</v>
      </c>
      <c r="P17" s="19" t="s">
        <v>9</v>
      </c>
      <c r="Q17" s="19" t="s">
        <v>9</v>
      </c>
      <c r="R17" s="19" t="s">
        <v>9</v>
      </c>
      <c r="S17" s="19" t="s">
        <v>9</v>
      </c>
      <c r="T17" s="19" t="s">
        <v>9</v>
      </c>
      <c r="U17" s="19" t="s">
        <v>9</v>
      </c>
      <c r="V17" s="19" t="s">
        <v>9</v>
      </c>
      <c r="W17" s="19" t="s">
        <v>9</v>
      </c>
      <c r="X17" s="28" t="s">
        <v>9</v>
      </c>
      <c r="AE17" s="49"/>
      <c r="AF17" s="50">
        <v>15</v>
      </c>
    </row>
    <row r="18" spans="1:32" ht="12.75" customHeight="1" x14ac:dyDescent="0.3">
      <c r="A18" s="121"/>
      <c r="B18" s="116">
        <v>46204</v>
      </c>
      <c r="C18" s="154" t="s">
        <v>86</v>
      </c>
      <c r="D18" s="154" t="s">
        <v>109</v>
      </c>
      <c r="E18" s="154" t="s">
        <v>110</v>
      </c>
      <c r="F18" s="125"/>
      <c r="G18" s="125"/>
      <c r="H18" s="123" t="str">
        <f t="shared" si="1"/>
        <v>-</v>
      </c>
      <c r="I18" s="26"/>
      <c r="J18" s="13"/>
      <c r="K18" s="13"/>
      <c r="L18" s="13"/>
      <c r="M18" s="13"/>
      <c r="N18" s="13"/>
      <c r="O18" s="13"/>
      <c r="P18" s="13"/>
      <c r="Q18" s="13"/>
      <c r="R18" s="13"/>
      <c r="S18" s="13"/>
      <c r="T18" s="13"/>
      <c r="U18" s="13"/>
      <c r="V18" s="13"/>
      <c r="W18" s="13"/>
      <c r="X18" s="25"/>
      <c r="AE18" s="49"/>
      <c r="AF18" s="50">
        <v>16</v>
      </c>
    </row>
    <row r="19" spans="1:32" ht="12.75" customHeight="1" x14ac:dyDescent="0.3">
      <c r="A19" s="121"/>
      <c r="B19" s="108"/>
      <c r="C19" s="153"/>
      <c r="D19" s="153"/>
      <c r="E19" s="153"/>
      <c r="F19" s="100"/>
      <c r="G19" s="100"/>
      <c r="H19" s="124"/>
      <c r="I19" s="26" t="s">
        <v>9</v>
      </c>
      <c r="J19" s="13" t="s">
        <v>9</v>
      </c>
      <c r="K19" s="13" t="s">
        <v>9</v>
      </c>
      <c r="L19" s="13" t="s">
        <v>9</v>
      </c>
      <c r="M19" s="13" t="s">
        <v>9</v>
      </c>
      <c r="N19" s="13" t="s">
        <v>9</v>
      </c>
      <c r="O19" s="13" t="s">
        <v>9</v>
      </c>
      <c r="P19" s="13" t="s">
        <v>9</v>
      </c>
      <c r="Q19" s="13" t="s">
        <v>9</v>
      </c>
      <c r="R19" s="13" t="s">
        <v>9</v>
      </c>
      <c r="S19" s="13" t="s">
        <v>9</v>
      </c>
      <c r="T19" s="13" t="s">
        <v>9</v>
      </c>
      <c r="U19" s="13" t="s">
        <v>9</v>
      </c>
      <c r="V19" s="13" t="s">
        <v>9</v>
      </c>
      <c r="W19" s="13" t="s">
        <v>9</v>
      </c>
      <c r="X19" s="25" t="s">
        <v>9</v>
      </c>
      <c r="AE19" s="49"/>
      <c r="AF19" s="50">
        <v>17</v>
      </c>
    </row>
    <row r="20" spans="1:32" ht="12.75" customHeight="1" x14ac:dyDescent="0.3">
      <c r="A20" s="120" t="s">
        <v>78</v>
      </c>
      <c r="B20" s="117">
        <v>46202</v>
      </c>
      <c r="C20" s="149" t="s">
        <v>87</v>
      </c>
      <c r="D20" s="149" t="s">
        <v>111</v>
      </c>
      <c r="E20" s="155" t="s">
        <v>112</v>
      </c>
      <c r="F20" s="130"/>
      <c r="G20" s="130"/>
      <c r="H20" s="134" t="str">
        <f t="shared" si="1"/>
        <v>-</v>
      </c>
      <c r="I20" s="23"/>
      <c r="J20" s="18"/>
      <c r="K20" s="18"/>
      <c r="L20" s="18"/>
      <c r="M20" s="18"/>
      <c r="N20" s="18"/>
      <c r="O20" s="18"/>
      <c r="P20" s="18"/>
      <c r="Q20" s="18"/>
      <c r="R20" s="18"/>
      <c r="S20" s="18"/>
      <c r="T20" s="18"/>
      <c r="U20" s="18"/>
      <c r="V20" s="18"/>
      <c r="W20" s="18"/>
      <c r="X20" s="24"/>
    </row>
    <row r="21" spans="1:32" ht="12.75" customHeight="1" x14ac:dyDescent="0.3">
      <c r="A21" s="121"/>
      <c r="B21" s="106"/>
      <c r="C21" s="150"/>
      <c r="D21" s="150"/>
      <c r="E21" s="156"/>
      <c r="F21" s="98"/>
      <c r="G21" s="98"/>
      <c r="H21" s="135"/>
      <c r="I21" s="23" t="s">
        <v>9</v>
      </c>
      <c r="J21" s="18" t="s">
        <v>9</v>
      </c>
      <c r="K21" s="18" t="s">
        <v>9</v>
      </c>
      <c r="L21" s="18" t="s">
        <v>9</v>
      </c>
      <c r="M21" s="18" t="s">
        <v>9</v>
      </c>
      <c r="N21" s="18" t="s">
        <v>9</v>
      </c>
      <c r="O21" s="18" t="s">
        <v>9</v>
      </c>
      <c r="P21" s="18" t="s">
        <v>9</v>
      </c>
      <c r="Q21" s="18" t="s">
        <v>9</v>
      </c>
      <c r="R21" s="18" t="s">
        <v>9</v>
      </c>
      <c r="S21" s="18" t="s">
        <v>9</v>
      </c>
      <c r="T21" s="18" t="s">
        <v>9</v>
      </c>
      <c r="U21" s="18" t="s">
        <v>9</v>
      </c>
      <c r="V21" s="18" t="s">
        <v>9</v>
      </c>
      <c r="W21" s="18" t="s">
        <v>9</v>
      </c>
      <c r="X21" s="24" t="s">
        <v>9</v>
      </c>
    </row>
    <row r="22" spans="1:32" ht="12.75" customHeight="1" x14ac:dyDescent="0.3">
      <c r="A22" s="121"/>
      <c r="B22" s="117">
        <v>46203</v>
      </c>
      <c r="C22" s="149" t="s">
        <v>88</v>
      </c>
      <c r="D22" s="149" t="s">
        <v>113</v>
      </c>
      <c r="E22" s="149" t="s">
        <v>114</v>
      </c>
      <c r="F22" s="130"/>
      <c r="G22" s="130"/>
      <c r="H22" s="134" t="str">
        <f t="shared" si="1"/>
        <v>-</v>
      </c>
      <c r="I22" s="26"/>
      <c r="J22" s="13"/>
      <c r="K22" s="13"/>
      <c r="L22" s="13"/>
      <c r="M22" s="13"/>
      <c r="N22" s="13"/>
      <c r="O22" s="13"/>
      <c r="P22" s="13"/>
      <c r="Q22" s="13"/>
      <c r="R22" s="13"/>
      <c r="S22" s="13"/>
      <c r="T22" s="13"/>
      <c r="U22" s="13"/>
      <c r="V22" s="13"/>
      <c r="W22" s="13"/>
      <c r="X22" s="25"/>
    </row>
    <row r="23" spans="1:32" ht="12.75" customHeight="1" x14ac:dyDescent="0.3">
      <c r="A23" s="121"/>
      <c r="B23" s="106"/>
      <c r="C23" s="150"/>
      <c r="D23" s="150"/>
      <c r="E23" s="150"/>
      <c r="F23" s="98"/>
      <c r="G23" s="98"/>
      <c r="H23" s="135"/>
      <c r="I23" s="26" t="s">
        <v>9</v>
      </c>
      <c r="J23" s="13" t="s">
        <v>9</v>
      </c>
      <c r="K23" s="13" t="s">
        <v>9</v>
      </c>
      <c r="L23" s="13" t="s">
        <v>9</v>
      </c>
      <c r="M23" s="13" t="s">
        <v>9</v>
      </c>
      <c r="N23" s="13" t="s">
        <v>9</v>
      </c>
      <c r="O23" s="13" t="s">
        <v>9</v>
      </c>
      <c r="P23" s="13" t="s">
        <v>9</v>
      </c>
      <c r="Q23" s="13" t="s">
        <v>9</v>
      </c>
      <c r="R23" s="13" t="s">
        <v>9</v>
      </c>
      <c r="S23" s="13" t="s">
        <v>9</v>
      </c>
      <c r="T23" s="13" t="s">
        <v>9</v>
      </c>
      <c r="U23" s="13" t="s">
        <v>9</v>
      </c>
      <c r="V23" s="13" t="s">
        <v>9</v>
      </c>
      <c r="W23" s="13" t="s">
        <v>9</v>
      </c>
      <c r="X23" s="25" t="s">
        <v>9</v>
      </c>
    </row>
    <row r="24" spans="1:32" ht="12.75" customHeight="1" x14ac:dyDescent="0.3">
      <c r="A24" s="121"/>
      <c r="B24" s="117">
        <v>46203</v>
      </c>
      <c r="C24" s="149" t="s">
        <v>89</v>
      </c>
      <c r="D24" s="149" t="s">
        <v>115</v>
      </c>
      <c r="E24" s="155" t="s">
        <v>116</v>
      </c>
      <c r="F24" s="130"/>
      <c r="G24" s="130"/>
      <c r="H24" s="134" t="str">
        <f t="shared" si="1"/>
        <v>-</v>
      </c>
      <c r="I24" s="23"/>
      <c r="J24" s="18"/>
      <c r="K24" s="18"/>
      <c r="L24" s="18"/>
      <c r="M24" s="18"/>
      <c r="N24" s="18"/>
      <c r="O24" s="18"/>
      <c r="P24" s="18"/>
      <c r="Q24" s="18"/>
      <c r="R24" s="18"/>
      <c r="S24" s="18"/>
      <c r="T24" s="18"/>
      <c r="U24" s="18"/>
      <c r="V24" s="18"/>
      <c r="W24" s="18"/>
      <c r="X24" s="24"/>
    </row>
    <row r="25" spans="1:32" ht="12.75" customHeight="1" x14ac:dyDescent="0.3">
      <c r="A25" s="121"/>
      <c r="B25" s="106"/>
      <c r="C25" s="150"/>
      <c r="D25" s="150"/>
      <c r="E25" s="156"/>
      <c r="F25" s="98"/>
      <c r="G25" s="98"/>
      <c r="H25" s="135"/>
      <c r="I25" s="23" t="s">
        <v>9</v>
      </c>
      <c r="J25" s="18" t="s">
        <v>9</v>
      </c>
      <c r="K25" s="18" t="s">
        <v>9</v>
      </c>
      <c r="L25" s="18" t="s">
        <v>9</v>
      </c>
      <c r="M25" s="18" t="s">
        <v>9</v>
      </c>
      <c r="N25" s="18" t="s">
        <v>9</v>
      </c>
      <c r="O25" s="18" t="s">
        <v>9</v>
      </c>
      <c r="P25" s="18" t="s">
        <v>9</v>
      </c>
      <c r="Q25" s="18" t="s">
        <v>9</v>
      </c>
      <c r="R25" s="18" t="s">
        <v>9</v>
      </c>
      <c r="S25" s="18" t="s">
        <v>9</v>
      </c>
      <c r="T25" s="18" t="s">
        <v>9</v>
      </c>
      <c r="U25" s="18" t="s">
        <v>9</v>
      </c>
      <c r="V25" s="18" t="s">
        <v>9</v>
      </c>
      <c r="W25" s="18" t="s">
        <v>9</v>
      </c>
      <c r="X25" s="24" t="s">
        <v>9</v>
      </c>
    </row>
    <row r="26" spans="1:32" ht="12.75" customHeight="1" x14ac:dyDescent="0.3">
      <c r="A26" s="121"/>
      <c r="B26" s="117">
        <v>46204</v>
      </c>
      <c r="C26" s="149" t="s">
        <v>90</v>
      </c>
      <c r="D26" s="149" t="s">
        <v>117</v>
      </c>
      <c r="E26" s="149" t="s">
        <v>118</v>
      </c>
      <c r="F26" s="130"/>
      <c r="G26" s="130"/>
      <c r="H26" s="134" t="str">
        <f t="shared" si="1"/>
        <v>-</v>
      </c>
      <c r="I26" s="26"/>
      <c r="J26" s="13"/>
      <c r="K26" s="13"/>
      <c r="L26" s="13"/>
      <c r="M26" s="13"/>
      <c r="N26" s="13"/>
      <c r="O26" s="13"/>
      <c r="P26" s="13"/>
      <c r="Q26" s="13"/>
      <c r="R26" s="13"/>
      <c r="S26" s="13"/>
      <c r="T26" s="13"/>
      <c r="U26" s="13"/>
      <c r="V26" s="13"/>
      <c r="W26" s="13"/>
      <c r="X26" s="25"/>
    </row>
    <row r="27" spans="1:32" ht="12.75" customHeight="1" x14ac:dyDescent="0.3">
      <c r="A27" s="121"/>
      <c r="B27" s="106"/>
      <c r="C27" s="150"/>
      <c r="D27" s="150"/>
      <c r="E27" s="150"/>
      <c r="F27" s="98"/>
      <c r="G27" s="98"/>
      <c r="H27" s="135"/>
      <c r="I27" s="26" t="s">
        <v>9</v>
      </c>
      <c r="J27" s="13" t="s">
        <v>9</v>
      </c>
      <c r="K27" s="13" t="s">
        <v>9</v>
      </c>
      <c r="L27" s="13" t="s">
        <v>9</v>
      </c>
      <c r="M27" s="13" t="s">
        <v>9</v>
      </c>
      <c r="N27" s="13" t="s">
        <v>9</v>
      </c>
      <c r="O27" s="13" t="s">
        <v>9</v>
      </c>
      <c r="P27" s="13" t="s">
        <v>9</v>
      </c>
      <c r="Q27" s="13" t="s">
        <v>9</v>
      </c>
      <c r="R27" s="13" t="s">
        <v>9</v>
      </c>
      <c r="S27" s="13" t="s">
        <v>9</v>
      </c>
      <c r="T27" s="13" t="s">
        <v>9</v>
      </c>
      <c r="U27" s="13" t="s">
        <v>9</v>
      </c>
      <c r="V27" s="13" t="s">
        <v>9</v>
      </c>
      <c r="W27" s="13" t="s">
        <v>9</v>
      </c>
      <c r="X27" s="25" t="s">
        <v>9</v>
      </c>
    </row>
    <row r="28" spans="1:32" ht="12.75" customHeight="1" x14ac:dyDescent="0.3">
      <c r="A28" s="121"/>
      <c r="B28" s="116">
        <v>46206</v>
      </c>
      <c r="C28" s="154" t="s">
        <v>91</v>
      </c>
      <c r="D28" s="154" t="s">
        <v>119</v>
      </c>
      <c r="E28" s="154" t="s">
        <v>120</v>
      </c>
      <c r="F28" s="125"/>
      <c r="G28" s="125"/>
      <c r="H28" s="123" t="str">
        <f t="shared" si="1"/>
        <v>-</v>
      </c>
      <c r="I28" s="27"/>
      <c r="J28" s="19"/>
      <c r="K28" s="19"/>
      <c r="L28" s="19"/>
      <c r="M28" s="19"/>
      <c r="N28" s="19"/>
      <c r="O28" s="19"/>
      <c r="P28" s="19"/>
      <c r="Q28" s="19"/>
      <c r="R28" s="19"/>
      <c r="S28" s="19"/>
      <c r="T28" s="19"/>
      <c r="U28" s="19"/>
      <c r="V28" s="19"/>
      <c r="W28" s="19"/>
      <c r="X28" s="28"/>
    </row>
    <row r="29" spans="1:32" ht="12.75" customHeight="1" x14ac:dyDescent="0.3">
      <c r="A29" s="121"/>
      <c r="B29" s="108"/>
      <c r="C29" s="153"/>
      <c r="D29" s="153"/>
      <c r="E29" s="153"/>
      <c r="F29" s="100"/>
      <c r="G29" s="100"/>
      <c r="H29" s="124"/>
      <c r="I29" s="27" t="s">
        <v>9</v>
      </c>
      <c r="J29" s="19" t="s">
        <v>9</v>
      </c>
      <c r="K29" s="19" t="s">
        <v>9</v>
      </c>
      <c r="L29" s="19" t="s">
        <v>9</v>
      </c>
      <c r="M29" s="19" t="s">
        <v>9</v>
      </c>
      <c r="N29" s="19" t="s">
        <v>9</v>
      </c>
      <c r="O29" s="19" t="s">
        <v>9</v>
      </c>
      <c r="P29" s="19" t="s">
        <v>9</v>
      </c>
      <c r="Q29" s="19" t="s">
        <v>9</v>
      </c>
      <c r="R29" s="19" t="s">
        <v>9</v>
      </c>
      <c r="S29" s="19" t="s">
        <v>9</v>
      </c>
      <c r="T29" s="19" t="s">
        <v>9</v>
      </c>
      <c r="U29" s="19" t="s">
        <v>9</v>
      </c>
      <c r="V29" s="19" t="s">
        <v>9</v>
      </c>
      <c r="W29" s="19" t="s">
        <v>9</v>
      </c>
      <c r="X29" s="28" t="s">
        <v>9</v>
      </c>
    </row>
    <row r="30" spans="1:32" ht="12.75" customHeight="1" x14ac:dyDescent="0.3">
      <c r="A30" s="121"/>
      <c r="B30" s="116">
        <v>46206</v>
      </c>
      <c r="C30" s="154" t="s">
        <v>88</v>
      </c>
      <c r="D30" s="154" t="s">
        <v>121</v>
      </c>
      <c r="E30" s="157" t="s">
        <v>122</v>
      </c>
      <c r="F30" s="125"/>
      <c r="G30" s="125"/>
      <c r="H30" s="123" t="str">
        <f t="shared" si="1"/>
        <v>-</v>
      </c>
      <c r="I30" s="26"/>
      <c r="J30" s="13"/>
      <c r="K30" s="13"/>
      <c r="L30" s="13"/>
      <c r="M30" s="13"/>
      <c r="N30" s="13"/>
      <c r="O30" s="13"/>
      <c r="P30" s="13"/>
      <c r="Q30" s="13"/>
      <c r="R30" s="13"/>
      <c r="S30" s="13"/>
      <c r="T30" s="13"/>
      <c r="U30" s="13"/>
      <c r="V30" s="13"/>
      <c r="W30" s="13"/>
      <c r="X30" s="25"/>
    </row>
    <row r="31" spans="1:32" ht="12.75" customHeight="1" x14ac:dyDescent="0.3">
      <c r="A31" s="121"/>
      <c r="B31" s="108"/>
      <c r="C31" s="153"/>
      <c r="D31" s="153"/>
      <c r="E31" s="158"/>
      <c r="F31" s="100"/>
      <c r="G31" s="100"/>
      <c r="H31" s="124"/>
      <c r="I31" s="26" t="s">
        <v>9</v>
      </c>
      <c r="J31" s="13" t="s">
        <v>9</v>
      </c>
      <c r="K31" s="13" t="s">
        <v>9</v>
      </c>
      <c r="L31" s="13" t="s">
        <v>9</v>
      </c>
      <c r="M31" s="13" t="s">
        <v>9</v>
      </c>
      <c r="N31" s="13" t="s">
        <v>9</v>
      </c>
      <c r="O31" s="13" t="s">
        <v>9</v>
      </c>
      <c r="P31" s="13" t="s">
        <v>9</v>
      </c>
      <c r="Q31" s="13" t="s">
        <v>9</v>
      </c>
      <c r="R31" s="13" t="s">
        <v>9</v>
      </c>
      <c r="S31" s="13" t="s">
        <v>9</v>
      </c>
      <c r="T31" s="13" t="s">
        <v>9</v>
      </c>
      <c r="U31" s="13" t="s">
        <v>9</v>
      </c>
      <c r="V31" s="13" t="s">
        <v>9</v>
      </c>
      <c r="W31" s="13" t="s">
        <v>9</v>
      </c>
      <c r="X31" s="25" t="s">
        <v>9</v>
      </c>
    </row>
    <row r="32" spans="1:32" ht="12.75" customHeight="1" x14ac:dyDescent="0.3">
      <c r="A32" s="121"/>
      <c r="B32" s="116">
        <v>46205</v>
      </c>
      <c r="C32" s="154" t="s">
        <v>92</v>
      </c>
      <c r="D32" s="154" t="s">
        <v>123</v>
      </c>
      <c r="E32" s="157" t="s">
        <v>124</v>
      </c>
      <c r="F32" s="125"/>
      <c r="G32" s="125"/>
      <c r="H32" s="123" t="str">
        <f t="shared" si="1"/>
        <v>-</v>
      </c>
      <c r="I32" s="27"/>
      <c r="J32" s="19"/>
      <c r="K32" s="19"/>
      <c r="L32" s="19"/>
      <c r="M32" s="19"/>
      <c r="N32" s="19"/>
      <c r="O32" s="19"/>
      <c r="P32" s="19"/>
      <c r="Q32" s="19"/>
      <c r="R32" s="19"/>
      <c r="S32" s="19"/>
      <c r="T32" s="19"/>
      <c r="U32" s="19"/>
      <c r="V32" s="19"/>
      <c r="W32" s="19"/>
      <c r="X32" s="28"/>
    </row>
    <row r="33" spans="1:24" ht="12.75" customHeight="1" x14ac:dyDescent="0.3">
      <c r="A33" s="121"/>
      <c r="B33" s="108"/>
      <c r="C33" s="153"/>
      <c r="D33" s="153"/>
      <c r="E33" s="158"/>
      <c r="F33" s="100"/>
      <c r="G33" s="100"/>
      <c r="H33" s="124"/>
      <c r="I33" s="27" t="s">
        <v>9</v>
      </c>
      <c r="J33" s="19" t="s">
        <v>9</v>
      </c>
      <c r="K33" s="19" t="s">
        <v>9</v>
      </c>
      <c r="L33" s="19" t="s">
        <v>9</v>
      </c>
      <c r="M33" s="19" t="s">
        <v>9</v>
      </c>
      <c r="N33" s="19" t="s">
        <v>9</v>
      </c>
      <c r="O33" s="19" t="s">
        <v>9</v>
      </c>
      <c r="P33" s="19" t="s">
        <v>9</v>
      </c>
      <c r="Q33" s="19" t="s">
        <v>9</v>
      </c>
      <c r="R33" s="19" t="s">
        <v>9</v>
      </c>
      <c r="S33" s="19" t="s">
        <v>9</v>
      </c>
      <c r="T33" s="19" t="s">
        <v>9</v>
      </c>
      <c r="U33" s="19" t="s">
        <v>9</v>
      </c>
      <c r="V33" s="19" t="s">
        <v>9</v>
      </c>
      <c r="W33" s="19" t="s">
        <v>9</v>
      </c>
      <c r="X33" s="28" t="s">
        <v>9</v>
      </c>
    </row>
    <row r="34" spans="1:24" ht="12.75" customHeight="1" x14ac:dyDescent="0.3">
      <c r="A34" s="121"/>
      <c r="B34" s="116">
        <v>46206</v>
      </c>
      <c r="C34" s="154" t="s">
        <v>93</v>
      </c>
      <c r="D34" s="154" t="s">
        <v>125</v>
      </c>
      <c r="E34" s="154" t="s">
        <v>126</v>
      </c>
      <c r="F34" s="125"/>
      <c r="G34" s="125"/>
      <c r="H34" s="123" t="str">
        <f t="shared" si="1"/>
        <v>-</v>
      </c>
      <c r="I34" s="26"/>
      <c r="J34" s="13"/>
      <c r="K34" s="13"/>
      <c r="L34" s="13"/>
      <c r="M34" s="13"/>
      <c r="N34" s="13"/>
      <c r="O34" s="13"/>
      <c r="P34" s="13"/>
      <c r="Q34" s="13"/>
      <c r="R34" s="13"/>
      <c r="S34" s="13"/>
      <c r="T34" s="13"/>
      <c r="U34" s="13"/>
      <c r="V34" s="13"/>
      <c r="W34" s="13"/>
      <c r="X34" s="25"/>
    </row>
    <row r="35" spans="1:24" ht="12.75" customHeight="1" x14ac:dyDescent="0.3">
      <c r="A35" s="122"/>
      <c r="B35" s="108"/>
      <c r="C35" s="153"/>
      <c r="D35" s="153"/>
      <c r="E35" s="153"/>
      <c r="F35" s="100"/>
      <c r="G35" s="100"/>
      <c r="H35" s="124"/>
      <c r="I35" s="26" t="s">
        <v>9</v>
      </c>
      <c r="J35" s="13" t="s">
        <v>9</v>
      </c>
      <c r="K35" s="13" t="s">
        <v>9</v>
      </c>
      <c r="L35" s="13" t="s">
        <v>9</v>
      </c>
      <c r="M35" s="13" t="s">
        <v>9</v>
      </c>
      <c r="N35" s="13" t="s">
        <v>9</v>
      </c>
      <c r="O35" s="13" t="s">
        <v>9</v>
      </c>
      <c r="P35" s="13" t="s">
        <v>9</v>
      </c>
      <c r="Q35" s="13" t="s">
        <v>9</v>
      </c>
      <c r="R35" s="13" t="s">
        <v>9</v>
      </c>
      <c r="S35" s="13" t="s">
        <v>9</v>
      </c>
      <c r="T35" s="13" t="s">
        <v>9</v>
      </c>
      <c r="U35" s="13" t="s">
        <v>9</v>
      </c>
      <c r="V35" s="13" t="s">
        <v>9</v>
      </c>
      <c r="W35" s="13" t="s">
        <v>9</v>
      </c>
      <c r="X35" s="25" t="s">
        <v>9</v>
      </c>
    </row>
    <row r="36" spans="1:24" ht="12.75" customHeight="1" x14ac:dyDescent="0.3">
      <c r="E36" s="159" t="s">
        <v>10</v>
      </c>
      <c r="F36" s="159"/>
      <c r="G36" s="159"/>
      <c r="H36" s="5">
        <f>SUM(F4:G35)</f>
        <v>0</v>
      </c>
      <c r="I36" s="51">
        <f>SUM(I35,I33,I31,I29,I27,I25,I23,I21,I19,I17,I15,I13,I11,I9,I7,I5)</f>
        <v>0</v>
      </c>
      <c r="J36" s="15">
        <f>SUM(J35,J33,J31,J29,J27,J25,J23,J21,J19,J17,J15,J13,J11,J9,J7,J5)</f>
        <v>0</v>
      </c>
      <c r="K36" s="15">
        <f t="shared" ref="K36:X36" si="2">SUM(K35,K33,K31,K29,K27,K25,K23,K21,K19,K17,K15,K13,K11,K9,K7,K5)</f>
        <v>0</v>
      </c>
      <c r="L36" s="15">
        <f t="shared" si="2"/>
        <v>0</v>
      </c>
      <c r="M36" s="15">
        <f t="shared" si="2"/>
        <v>0</v>
      </c>
      <c r="N36" s="15">
        <f t="shared" si="2"/>
        <v>0</v>
      </c>
      <c r="O36" s="15">
        <f t="shared" si="2"/>
        <v>0</v>
      </c>
      <c r="P36" s="15">
        <f t="shared" si="2"/>
        <v>0</v>
      </c>
      <c r="Q36" s="15">
        <f t="shared" si="2"/>
        <v>0</v>
      </c>
      <c r="R36" s="15">
        <f t="shared" si="2"/>
        <v>0</v>
      </c>
      <c r="S36" s="15">
        <f t="shared" si="2"/>
        <v>0</v>
      </c>
      <c r="T36" s="15">
        <f t="shared" si="2"/>
        <v>0</v>
      </c>
      <c r="U36" s="15">
        <f t="shared" si="2"/>
        <v>0</v>
      </c>
      <c r="V36" s="15">
        <f t="shared" si="2"/>
        <v>0</v>
      </c>
      <c r="W36" s="15">
        <f t="shared" si="2"/>
        <v>0</v>
      </c>
      <c r="X36" s="30">
        <f t="shared" si="2"/>
        <v>0</v>
      </c>
    </row>
    <row r="37" spans="1:24" ht="33" customHeight="1" thickBot="1" x14ac:dyDescent="0.35">
      <c r="E37" s="137" t="s">
        <v>14</v>
      </c>
      <c r="F37" s="137"/>
      <c r="G37" s="137"/>
      <c r="H37" s="137"/>
      <c r="I37" s="31">
        <f t="shared" ref="I37:X37" si="3">SUM(I38:I41)</f>
        <v>100</v>
      </c>
      <c r="J37" s="32">
        <f t="shared" si="3"/>
        <v>100</v>
      </c>
      <c r="K37" s="32">
        <f t="shared" si="3"/>
        <v>100</v>
      </c>
      <c r="L37" s="32">
        <f t="shared" si="3"/>
        <v>100</v>
      </c>
      <c r="M37" s="32">
        <f t="shared" si="3"/>
        <v>100</v>
      </c>
      <c r="N37" s="32">
        <f t="shared" si="3"/>
        <v>100</v>
      </c>
      <c r="O37" s="32">
        <f t="shared" si="3"/>
        <v>100</v>
      </c>
      <c r="P37" s="32">
        <f t="shared" si="3"/>
        <v>100</v>
      </c>
      <c r="Q37" s="32">
        <f t="shared" si="3"/>
        <v>100</v>
      </c>
      <c r="R37" s="32">
        <f t="shared" si="3"/>
        <v>100</v>
      </c>
      <c r="S37" s="32">
        <f t="shared" si="3"/>
        <v>100</v>
      </c>
      <c r="T37" s="32">
        <f t="shared" si="3"/>
        <v>100</v>
      </c>
      <c r="U37" s="32">
        <f t="shared" si="3"/>
        <v>100</v>
      </c>
      <c r="V37" s="32">
        <f t="shared" si="3"/>
        <v>100</v>
      </c>
      <c r="W37" s="32">
        <f t="shared" si="3"/>
        <v>100</v>
      </c>
      <c r="X37" s="33">
        <f t="shared" si="3"/>
        <v>100</v>
      </c>
    </row>
    <row r="38" spans="1:24" ht="15" thickTop="1" x14ac:dyDescent="0.3">
      <c r="I38" s="4">
        <f>IF(I36=$H$36,100,IF($H$36-I36=1,99,IF($H$36-I36=-1,99,IF($H$36-I36=2,98,IF($H$36-I36=-2,98,IF($H$36-I36=3,97,IF($H$36-I36=-3,97,IF($H$36-I36=4,96,IF($H$36-I36=-4,96,IF($H$36-I36=5,95,IF($H$36-I36=-5,95,IF($H$36-I36=6,94,IF($H$36-I36=-6,94,IF($H$36-I36=7,93,IF($H$36-I36=-7,93,IF($H$36-I36=8,92,IF($H$36-I36=-8,92,IF($H$36-I36=9,91,IF($H$36-I36=-9,91,IF($H$36-I36=10,90,IF($H$36-I36=-10,90,IF($H$36-I36=11,89,IF($H$36-I36=-11,89,IF($H$36-I36=12,88,IF($H$36-I36=-12,88,IF($H$36-I36=13,87,IF($H$36-I36=-13,87,IF($H$36-I36=14,86,IF($H$36-I36=-14,86,IF($H$36-I36=15,85,IF($H$36-I36=-15,85,IF($H$36-I36=16,84,IF($H$36-I36=-16,84,IF($H$36-I36=17,83,IF($H$36-I36=-17,83,IF($H$36-I36=18,82,IF($H$36-I36=-18,82,IF($H$36-I36=19,81,IF($H$36-I36=-19,81,IF($H$36-I36=20,80,IF($H$36-I36=-20,80,IF($H$36-I36=21,79,IF($H$36-I36=-21,79,IF($H$36-I36=22,78,IF($H$36-I36=-22,78,IF($H$36-I36=23,77,IF($H$36-I36=-23,77,IF($H$36-I36=24,76,IF($H$36-I36=-24,76,IF($H$36-I36=25,75,IF($H$36-I36=-25,75,IF($H$36-I36=26,74,IF($H$36-I36=-26,74,IF($H$36-I36=27,73,IF($H$36-I36=-27,73,IF($H$36-I36=28,72,IF($H$36-I36=-28,72,IF($H$36-I36=29,71,IF($H$36-I36=-29,71,IF($H$36-I36=30,70,IF($H$36-I36=-30,70,IF($H$36-I36=31,69,IF($H$36-I36=-31,69,IF($H$36-I36=32,68,IF($H$36-I36=-32,68,0)))))))))))))))))))))))))))))))))))))))))))))))))))))))))))))))))</f>
        <v>100</v>
      </c>
      <c r="J38" s="4">
        <f t="shared" ref="J38:X38" si="4">IF(J36=$H$36,100,IF($H$36-J36=1,99,IF($H$36-J36=-1,99,IF($H$36-J36=2,98,IF($H$36-J36=-2,98,IF($H$36-J36=3,97,IF($H$36-J36=-3,97,IF($H$36-J36=4,96,IF($H$36-J36=-4,96,IF($H$36-J36=5,95,IF($H$36-J36=-5,95,IF($H$36-J36=6,94,IF($H$36-J36=-6,94,IF($H$36-J36=7,93,IF($H$36-J36=-7,93,IF($H$36-J36=8,92,IF($H$36-J36=-8,92,IF($H$36-J36=9,91,IF($H$36-J36=-9,91,IF($H$36-J36=10,90,IF($H$36-J36=-10,90,IF($H$36-J36=11,89,IF($H$36-J36=-11,89,IF($H$36-J36=12,88,IF($H$36-J36=-12,88,IF($H$36-J36=13,87,IF($H$36-J36=-13,87,IF($H$36-J36=14,86,IF($H$36-J36=-14,86,IF($H$36-J36=15,85,IF($H$36-J36=-15,85,IF($H$36-J36=16,84,IF($H$36-J36=-16,84,IF($H$36-J36=17,83,IF($H$36-J36=-17,83,IF($H$36-J36=18,82,IF($H$36-J36=-18,82,IF($H$36-J36=19,81,IF($H$36-J36=-19,81,IF($H$36-J36=20,80,IF($H$36-J36=-20,80,IF($H$36-J36=21,79,IF($H$36-J36=-21,79,IF($H$36-J36=22,78,IF($H$36-J36=-22,78,IF($H$36-J36=23,77,IF($H$36-J36=-23,77,IF($H$36-J36=24,76,IF($H$36-J36=-24,76,IF($H$36-J36=25,75,IF($H$36-J36=-25,75,IF($H$36-J36=26,74,IF($H$36-J36=-26,74,IF($H$36-J36=27,73,IF($H$36-J36=-27,73,IF($H$36-J36=28,72,IF($H$36-J36=-28,72,IF($H$36-J36=29,71,IF($H$36-J36=-29,71,IF($H$36-J36=30,70,IF($H$36-J36=-30,70,IF($H$36-J36=31,69,IF($H$36-J36=-31,69,IF($H$36-J36=32,68,IF($H$36-J36=-32,68,0)))))))))))))))))))))))))))))))))))))))))))))))))))))))))))))))))</f>
        <v>100</v>
      </c>
      <c r="K38" s="4">
        <f t="shared" si="4"/>
        <v>100</v>
      </c>
      <c r="L38" s="4">
        <f t="shared" si="4"/>
        <v>100</v>
      </c>
      <c r="M38" s="4">
        <f t="shared" si="4"/>
        <v>100</v>
      </c>
      <c r="N38" s="4">
        <f t="shared" si="4"/>
        <v>100</v>
      </c>
      <c r="O38" s="4">
        <f t="shared" si="4"/>
        <v>100</v>
      </c>
      <c r="P38" s="4">
        <f t="shared" si="4"/>
        <v>100</v>
      </c>
      <c r="Q38" s="4">
        <f t="shared" si="4"/>
        <v>100</v>
      </c>
      <c r="R38" s="4">
        <f t="shared" si="4"/>
        <v>100</v>
      </c>
      <c r="S38" s="4">
        <f t="shared" si="4"/>
        <v>100</v>
      </c>
      <c r="T38" s="4">
        <f t="shared" si="4"/>
        <v>100</v>
      </c>
      <c r="U38" s="4">
        <f t="shared" si="4"/>
        <v>100</v>
      </c>
      <c r="V38" s="4">
        <f t="shared" si="4"/>
        <v>100</v>
      </c>
      <c r="W38" s="4">
        <f t="shared" si="4"/>
        <v>100</v>
      </c>
      <c r="X38" s="4">
        <f t="shared" si="4"/>
        <v>100</v>
      </c>
    </row>
    <row r="39" spans="1:24" x14ac:dyDescent="0.3">
      <c r="I39" s="4">
        <f>IF($H$36-I36=33,67,IF($H$36-I36=-33,67,IF($H$36-I36=34,66,IF($H$36-I36=-34,66,IF($H$36-I36=35,65,IF($H$36-I36=-35,65,IF($H$36-I36=36,64,IF($H$36-I36=-36,64,IF($H$36-I36=37,63,IF($H$36-I36=-37,63,IF($H$36-I36=38,62,IF($H$36-I36=-38,62,IF($H$36-I36=39,61,IF($H$36-I36=-39,61,IF($H$36-I36=40,60,IF($H$36-I36=-40,60,IF($H$36-I36=41,59,IF($H$36-I36=-41,59,IF($H$36-I36=42,58,IF($H$36-I36=-42,58,IF($H$36-I36=43,57,IF($H$36-I36=-43,57,IF($H$36-I36=44,56,IF($H$36-I36=-44,56,IF($H$36-I36=45,55,IF($H$36-I36=-45,55,IF($H$36-I36=46,54,IF($H$36-I36=-46,54,IF($H$36-I36=47,53,IF($H$36-I36=-47,53,IF($H$36-I36=48,52,IF($H$36-I36=-48,52,IF($H$36-I36=49,51,IF($H$36-I36=-49,51,IF($H$36-I36=50,50,IF($H$36-I36=-50,50,IF($H$36-I36=51,49,IF($H$36-I36=-51,49,IF($H$36-I36=52,48,IF($H$36-I36=-52,48,IF($H$36-I36=53,47,IF($H$36-I36=-53,47,IF($H$36-I36=54,46,IF($H$36-I36=-54,46,IF($H$36-I36=55,45,IF($H$36-I36=-55,45,IF($H$36-I36=56,44,IF($H$36-I36=-56,44,IF($H$36-I36=57,43,IF($H$36-I36=-57,43,IF($H$36-I36=58,42,IF($H$36-I36=-58,42,IF($H$36-I36=59,41,IF($H$36-I36=-59,41,IF($H$36-I36=60,40,IF($H$36-I36=-60,40,IF($H$36-I36=61,39,IF($H$36-I36=-61,39,IF($H$36-I36=62,38,IF($H$36-I36=-62,38,IF($H$36-I36=63,37,IF($H$36-I36=-63,37,IF($H$36-I36=64,36,IF($H$36-I36=-64,36,IF($H$36-I36=65,35,0)))))))))))))))))))))))))))))))))))))))))))))))))))))))))))))))))</f>
        <v>0</v>
      </c>
      <c r="J39" s="4">
        <f t="shared" ref="J39:X39" si="5">IF($H$36-J36=33,67,IF($H$36-J36=-33,67,IF($H$36-J36=34,66,IF($H$36-J36=-34,66,IF($H$36-J36=35,65,IF($H$36-J36=-35,65,IF($H$36-J36=36,64,IF($H$36-J36=-36,64,IF($H$36-J36=37,63,IF($H$36-J36=-37,63,IF($H$36-J36=38,62,IF($H$36-J36=-38,62,IF($H$36-J36=39,61,IF($H$36-J36=-39,61,IF($H$36-J36=40,60,IF($H$36-J36=-40,60,IF($H$36-J36=41,59,IF($H$36-J36=-41,59,IF($H$36-J36=42,58,IF($H$36-J36=-42,58,IF($H$36-J36=43,57,IF($H$36-J36=-43,57,IF($H$36-J36=44,56,IF($H$36-J36=-44,56,IF($H$36-J36=45,55,IF($H$36-J36=-45,55,IF($H$36-J36=46,54,IF($H$36-J36=-46,54,IF($H$36-J36=47,53,IF($H$36-J36=-47,53,IF($H$36-J36=48,52,IF($H$36-J36=-48,52,IF($H$36-J36=49,51,IF($H$36-J36=-49,51,IF($H$36-J36=50,50,IF($H$36-J36=-50,50,IF($H$36-J36=51,49,IF($H$36-J36=-51,49,IF($H$36-J36=52,48,IF($H$36-J36=-52,48,IF($H$36-J36=53,47,IF($H$36-J36=-53,47,IF($H$36-J36=54,46,IF($H$36-J36=-54,46,IF($H$36-J36=55,45,IF($H$36-J36=-55,45,IF($H$36-J36=56,44,IF($H$36-J36=-56,44,IF($H$36-J36=57,43,IF($H$36-J36=-57,43,IF($H$36-J36=58,42,IF($H$36-J36=-58,42,IF($H$36-J36=59,41,IF($H$36-J36=-59,41,IF($H$36-J36=60,40,IF($H$36-J36=-60,40,IF($H$36-J36=61,39,IF($H$36-J36=-61,39,IF($H$36-J36=62,38,IF($H$36-J36=-62,38,IF($H$36-J36=63,37,IF($H$36-J36=-63,37,IF($H$36-J36=64,36,IF($H$36-J36=-64,36,IF($H$36-J36=65,35,0)))))))))))))))))))))))))))))))))))))))))))))))))))))))))))))))))</f>
        <v>0</v>
      </c>
      <c r="K39" s="4">
        <f t="shared" si="5"/>
        <v>0</v>
      </c>
      <c r="L39" s="4">
        <f t="shared" si="5"/>
        <v>0</v>
      </c>
      <c r="M39" s="4">
        <f t="shared" si="5"/>
        <v>0</v>
      </c>
      <c r="N39" s="4">
        <f t="shared" si="5"/>
        <v>0</v>
      </c>
      <c r="O39" s="4">
        <f t="shared" si="5"/>
        <v>0</v>
      </c>
      <c r="P39" s="4">
        <f t="shared" si="5"/>
        <v>0</v>
      </c>
      <c r="Q39" s="4">
        <f t="shared" si="5"/>
        <v>0</v>
      </c>
      <c r="R39" s="4">
        <f t="shared" si="5"/>
        <v>0</v>
      </c>
      <c r="S39" s="4">
        <f t="shared" si="5"/>
        <v>0</v>
      </c>
      <c r="T39" s="4">
        <f t="shared" si="5"/>
        <v>0</v>
      </c>
      <c r="U39" s="4">
        <f t="shared" si="5"/>
        <v>0</v>
      </c>
      <c r="V39" s="4">
        <f t="shared" si="5"/>
        <v>0</v>
      </c>
      <c r="W39" s="4">
        <f t="shared" si="5"/>
        <v>0</v>
      </c>
      <c r="X39" s="4">
        <f t="shared" si="5"/>
        <v>0</v>
      </c>
    </row>
    <row r="40" spans="1:24" x14ac:dyDescent="0.3">
      <c r="I40" s="4">
        <f>IF($H$36-I36=-65,35,IF($H$36-I36=66,34,IF($H$36-I36=-66,34,IF($H$36-I36=67,33,IF($H$36-I36=-67,33,IF($H$36-I36=68,32,IF($H$36-I36=-68,32,IF($H$36-I36=69,31,IF($H$36-I36=-69,31,IF($H$36-I36=70,30,IF($H$36-I36=-70,30,IF($H$36-I36=71,29,IF($H$36-I36=-71,29,IF($H$36-I36=72,28,IF($H$36-I36=-72,28,IF($H$36-I36=73,27,IF($H$36-I36=-73,27,IF($H$36-I36=74,26,IF($H$36-I36=-74,26,IF($H$36-I36=75,25,IF($H$36-I36=-75,25,IF($H$36-I36=76,24,IF($H$36-I36=-76,24,IF($H$36-I36=77,23,IF($H$36-I36=-77,23,IF($H$36-I36=78,22,IF($H$36-I36=-78,22,IF($H$36-I36=79,21,IF($H$36-I36=-79,21,IF($H$36-I36=80,20,IF($H$36-I36=-80,20,IF($H$36-I36=81,19,IF($H$36-I36=-81,19,IF($H$36-I36=82,18,IF($H$36-I36=-82,18,IF($H$36-I36=83,17,IF($H$36-I36=-83,17,IF($H$36-I36=84,16,IF($H$36-I36=-84,16,IF($H$36-I36=85,15,IF($H$36-I36=-85,15,IF($H$36-I36=86,14,IF($H$36-I36=-86,14,IF($H$36-I36=87,13,IF($H$36-I36=-87,13,IF($H$36-I36=88,12,IF($H$36-I36=-88,12,IF($H$36-I36=89,11,IF($H$36-I36=-89,11,IF($H$36-I36=90,10,IF($H$36-I36=-90,10,IF($H$36-I36=91,9,IF($H$36-I36=-91,9,IF($H$36-I36=92,8,IF($H$36-I36=-92,8,IF($H$36-I36=93,7,IF($H$36-I36=-93,7,IF($H$36-I36=94,6,IF($H$36-I36=-94,6,IF($H$36-I36=95,5,IF($H$36-I36=-95,5,IF($H$36-I36=96,4,0))))))))))))))))))))))))))))))))))))))))))))))))))))))))))))))</f>
        <v>0</v>
      </c>
      <c r="J40" s="4">
        <f t="shared" ref="J40:X40" si="6">IF($H$36-J36=-65,35,IF($H$36-J36=66,34,IF($H$36-J36=-66,34,IF($H$36-J36=67,33,IF($H$36-J36=-67,33,IF($H$36-J36=68,32,IF($H$36-J36=-68,32,IF($H$36-J36=69,31,IF($H$36-J36=-69,31,IF($H$36-J36=70,30,IF($H$36-J36=-70,30,IF($H$36-J36=71,29,IF($H$36-J36=-71,29,IF($H$36-J36=72,28,IF($H$36-J36=-72,28,IF($H$36-J36=73,27,IF($H$36-J36=-73,27,IF($H$36-J36=74,26,IF($H$36-J36=-74,26,IF($H$36-J36=75,25,IF($H$36-J36=-75,25,IF($H$36-J36=76,24,IF($H$36-J36=-76,24,IF($H$36-J36=77,23,IF($H$36-J36=-77,23,IF($H$36-J36=78,22,IF($H$36-J36=-78,22,IF($H$36-J36=79,21,IF($H$36-J36=-79,21,IF($H$36-J36=80,20,IF($H$36-J36=-80,20,IF($H$36-J36=81,19,IF($H$36-J36=-81,19,IF($H$36-J36=82,18,IF($H$36-J36=-82,18,IF($H$36-J36=83,17,IF($H$36-J36=-83,17,IF($H$36-J36=84,16,IF($H$36-J36=-84,16,IF($H$36-J36=85,15,IF($H$36-J36=-85,15,IF($H$36-J36=86,14,IF($H$36-J36=-86,14,IF($H$36-J36=87,13,IF($H$36-J36=-87,13,IF($H$36-J36=88,12,IF($H$36-J36=-88,12,IF($H$36-J36=89,11,IF($H$36-J36=-89,11,IF($H$36-J36=90,10,IF($H$36-J36=-90,10,IF($H$36-J36=91,9,IF($H$36-J36=-91,9,IF($H$36-J36=92,8,IF($H$36-J36=-92,8,IF($H$36-J36=93,7,IF($H$36-J36=-93,7,IF($H$36-J36=94,6,IF($H$36-J36=-94,6,IF($H$36-J36=95,5,IF($H$36-J36=-95,5,IF($H$36-J36=96,4,0))))))))))))))))))))))))))))))))))))))))))))))))))))))))))))))</f>
        <v>0</v>
      </c>
      <c r="K40" s="4">
        <f t="shared" si="6"/>
        <v>0</v>
      </c>
      <c r="L40" s="4">
        <f t="shared" si="6"/>
        <v>0</v>
      </c>
      <c r="M40" s="4">
        <f t="shared" si="6"/>
        <v>0</v>
      </c>
      <c r="N40" s="4">
        <f t="shared" si="6"/>
        <v>0</v>
      </c>
      <c r="O40" s="4">
        <f t="shared" si="6"/>
        <v>0</v>
      </c>
      <c r="P40" s="4">
        <f t="shared" si="6"/>
        <v>0</v>
      </c>
      <c r="Q40" s="4">
        <f t="shared" si="6"/>
        <v>0</v>
      </c>
      <c r="R40" s="4">
        <f t="shared" si="6"/>
        <v>0</v>
      </c>
      <c r="S40" s="4">
        <f t="shared" si="6"/>
        <v>0</v>
      </c>
      <c r="T40" s="4">
        <f t="shared" si="6"/>
        <v>0</v>
      </c>
      <c r="U40" s="4">
        <f t="shared" si="6"/>
        <v>0</v>
      </c>
      <c r="V40" s="4">
        <f t="shared" si="6"/>
        <v>0</v>
      </c>
      <c r="W40" s="4">
        <f t="shared" si="6"/>
        <v>0</v>
      </c>
      <c r="X40" s="4">
        <f t="shared" si="6"/>
        <v>0</v>
      </c>
    </row>
    <row r="41" spans="1:24" x14ac:dyDescent="0.3">
      <c r="I41" s="4">
        <f>IF($H$36-I36=-96,4,IF($H$36-I36=97,3,IF($H$36-I36=-97,3,IF($H$36-I36=98,2,IF($H$36-I36=-98,2,IF($H$36-I36=99,1,IF($H$36-I36=-99,1,IF($H$36-I36=100,0,IF($H$36-I36=-100,0,0)))))))))</f>
        <v>0</v>
      </c>
      <c r="J41" s="4">
        <f t="shared" ref="J41:X41" si="7">IF($H$36-J36=-96,4,IF($H$36-J36=97,3,IF($H$36-J36=-97,3,IF($H$36-J36=98,2,IF($H$36-J36=-98,2,IF($H$36-J36=99,1,IF($H$36-J36=-99,1,IF($H$36-J36=100,0,IF($H$36-J36=-100,0,0)))))))))</f>
        <v>0</v>
      </c>
      <c r="K41" s="4">
        <f t="shared" si="7"/>
        <v>0</v>
      </c>
      <c r="L41" s="4">
        <f t="shared" si="7"/>
        <v>0</v>
      </c>
      <c r="M41" s="4">
        <f t="shared" si="7"/>
        <v>0</v>
      </c>
      <c r="N41" s="4">
        <f t="shared" si="7"/>
        <v>0</v>
      </c>
      <c r="O41" s="4">
        <f t="shared" si="7"/>
        <v>0</v>
      </c>
      <c r="P41" s="4">
        <f t="shared" si="7"/>
        <v>0</v>
      </c>
      <c r="Q41" s="4">
        <f t="shared" si="7"/>
        <v>0</v>
      </c>
      <c r="R41" s="4">
        <f t="shared" si="7"/>
        <v>0</v>
      </c>
      <c r="S41" s="4">
        <f t="shared" si="7"/>
        <v>0</v>
      </c>
      <c r="T41" s="4">
        <f t="shared" si="7"/>
        <v>0</v>
      </c>
      <c r="U41" s="4">
        <f t="shared" si="7"/>
        <v>0</v>
      </c>
      <c r="V41" s="4">
        <f t="shared" si="7"/>
        <v>0</v>
      </c>
      <c r="W41" s="4">
        <f t="shared" si="7"/>
        <v>0</v>
      </c>
      <c r="X41" s="4">
        <f t="shared" si="7"/>
        <v>0</v>
      </c>
    </row>
    <row r="42" spans="1:24" ht="24" customHeight="1" x14ac:dyDescent="0.3">
      <c r="D42" s="160"/>
      <c r="E42" s="160"/>
      <c r="F42" s="160"/>
      <c r="G42" s="160"/>
    </row>
    <row r="43" spans="1:24" ht="24" customHeight="1" x14ac:dyDescent="0.3">
      <c r="D43" s="160"/>
      <c r="E43" s="160"/>
      <c r="F43" s="160"/>
      <c r="G43" s="160"/>
    </row>
    <row r="44" spans="1:24" ht="24" customHeight="1" x14ac:dyDescent="0.3">
      <c r="D44" s="160"/>
      <c r="E44" s="160"/>
      <c r="F44" s="160"/>
      <c r="G44" s="160"/>
    </row>
    <row r="65" spans="9:9" x14ac:dyDescent="0.3">
      <c r="I65" s="3">
        <v>1</v>
      </c>
    </row>
  </sheetData>
  <sheetProtection algorithmName="SHA-512" hashValue="g9mYDjDnmTBP3swZeU2s76OH9tuO/a4+BUMDIUn1ivyJ0jYZvhcsp/rKVKq9ZNZoEIYDc9hBW+5pWujIk6K9qg==" saltValue="kOCvHQt7CCHPcHDEC7jJBg==" spinCount="100000" sheet="1" objects="1" scenarios="1"/>
  <mergeCells count="122">
    <mergeCell ref="E36:G36"/>
    <mergeCell ref="E37:H37"/>
    <mergeCell ref="D42:G42"/>
    <mergeCell ref="D43:G43"/>
    <mergeCell ref="D44:G44"/>
    <mergeCell ref="A4:A19"/>
    <mergeCell ref="A20:A35"/>
    <mergeCell ref="C4:C5"/>
    <mergeCell ref="C6:C7"/>
    <mergeCell ref="C8:C9"/>
    <mergeCell ref="G32:G33"/>
    <mergeCell ref="H32:H33"/>
    <mergeCell ref="B34:B35"/>
    <mergeCell ref="D34:D35"/>
    <mergeCell ref="E34:E35"/>
    <mergeCell ref="F34:F35"/>
    <mergeCell ref="G34:G35"/>
    <mergeCell ref="H34:H35"/>
    <mergeCell ref="C32:C33"/>
    <mergeCell ref="C34:C35"/>
    <mergeCell ref="H28:H29"/>
    <mergeCell ref="B30:B31"/>
    <mergeCell ref="D30:D31"/>
    <mergeCell ref="E30:E31"/>
    <mergeCell ref="F30:F31"/>
    <mergeCell ref="G30:G31"/>
    <mergeCell ref="H30:H31"/>
    <mergeCell ref="B28:B29"/>
    <mergeCell ref="D28:D29"/>
    <mergeCell ref="E28:E29"/>
    <mergeCell ref="F28:F29"/>
    <mergeCell ref="G28:G29"/>
    <mergeCell ref="B32:B33"/>
    <mergeCell ref="D32:D33"/>
    <mergeCell ref="E32:E33"/>
    <mergeCell ref="F32:F33"/>
    <mergeCell ref="C30:C31"/>
    <mergeCell ref="C28:C29"/>
    <mergeCell ref="G24:G25"/>
    <mergeCell ref="H24:H25"/>
    <mergeCell ref="B26:B27"/>
    <mergeCell ref="D26:D27"/>
    <mergeCell ref="E26:E27"/>
    <mergeCell ref="F26:F27"/>
    <mergeCell ref="G26:G27"/>
    <mergeCell ref="H26:H27"/>
    <mergeCell ref="C24:C25"/>
    <mergeCell ref="C26:C27"/>
    <mergeCell ref="B24:B25"/>
    <mergeCell ref="D24:D25"/>
    <mergeCell ref="E24:E25"/>
    <mergeCell ref="F24:F25"/>
    <mergeCell ref="H20:H21"/>
    <mergeCell ref="B22:B23"/>
    <mergeCell ref="D22:D23"/>
    <mergeCell ref="E22:E23"/>
    <mergeCell ref="F22:F23"/>
    <mergeCell ref="G22:G23"/>
    <mergeCell ref="H22:H23"/>
    <mergeCell ref="B20:B21"/>
    <mergeCell ref="D20:D21"/>
    <mergeCell ref="E20:E21"/>
    <mergeCell ref="F20:F21"/>
    <mergeCell ref="G20:G21"/>
    <mergeCell ref="C22:C23"/>
    <mergeCell ref="C20:C21"/>
    <mergeCell ref="G16:G17"/>
    <mergeCell ref="H16:H17"/>
    <mergeCell ref="B18:B19"/>
    <mergeCell ref="D18:D19"/>
    <mergeCell ref="E18:E19"/>
    <mergeCell ref="F18:F19"/>
    <mergeCell ref="G18:G19"/>
    <mergeCell ref="H18:H19"/>
    <mergeCell ref="C16:C17"/>
    <mergeCell ref="C18:C19"/>
    <mergeCell ref="B16:B17"/>
    <mergeCell ref="D16:D17"/>
    <mergeCell ref="E16:E17"/>
    <mergeCell ref="F16:F17"/>
    <mergeCell ref="H12:H13"/>
    <mergeCell ref="B14:B15"/>
    <mergeCell ref="D14:D15"/>
    <mergeCell ref="E14:E15"/>
    <mergeCell ref="F14:F15"/>
    <mergeCell ref="G14:G15"/>
    <mergeCell ref="H14:H15"/>
    <mergeCell ref="B12:B13"/>
    <mergeCell ref="D12:D13"/>
    <mergeCell ref="E12:E13"/>
    <mergeCell ref="F12:F13"/>
    <mergeCell ref="G12:G13"/>
    <mergeCell ref="C14:C15"/>
    <mergeCell ref="C12:C13"/>
    <mergeCell ref="B10:B11"/>
    <mergeCell ref="D10:D11"/>
    <mergeCell ref="E10:E11"/>
    <mergeCell ref="F10:F11"/>
    <mergeCell ref="G10:G11"/>
    <mergeCell ref="H10:H11"/>
    <mergeCell ref="C10:C11"/>
    <mergeCell ref="B8:B9"/>
    <mergeCell ref="D8:D9"/>
    <mergeCell ref="E8:E9"/>
    <mergeCell ref="F8:F9"/>
    <mergeCell ref="G8:G9"/>
    <mergeCell ref="H8:H9"/>
    <mergeCell ref="B6:B7"/>
    <mergeCell ref="D6:D7"/>
    <mergeCell ref="E6:E7"/>
    <mergeCell ref="F6:F7"/>
    <mergeCell ref="G6:G7"/>
    <mergeCell ref="H6:H7"/>
    <mergeCell ref="A1:H1"/>
    <mergeCell ref="F2:H2"/>
    <mergeCell ref="F3:G3"/>
    <mergeCell ref="B4:B5"/>
    <mergeCell ref="D4:D5"/>
    <mergeCell ref="E4:E5"/>
    <mergeCell ref="F4:F5"/>
    <mergeCell ref="G4:G5"/>
    <mergeCell ref="H4:H5"/>
  </mergeCells>
  <dataValidations count="2">
    <dataValidation type="list" allowBlank="1" showInputMessage="1" showErrorMessage="1" sqref="I5:X5 I7:X7 I9:X9 I35:X35 I33:X33 I31:X31 I29:X29 I27:X27 I25:X25 I23:X23 I21:X21 I19:X19 I17:X17 I15:X15 I13:X13 I11:X11" xr:uid="{15935602-46AC-4392-BF7C-7DDF6FAA9E44}">
      <formula1>$AF$5:$AF$19</formula1>
    </dataValidation>
    <dataValidation type="list" allowBlank="1" showInputMessage="1" showErrorMessage="1" sqref="I4:X4 I6:X6 I8:X8 I10:X10 I12:X12 I14:X14 I16:X16 I18:X18 I20:X20 I22:X22 I24:X24 I26:X26 I28:X28 I30:X30 I32:X32 I34:X34" xr:uid="{BDC1EAE2-2511-4D88-88D1-23B39B11E3B3}">
      <formula1>$AE$5:$AE$7</formula1>
    </dataValidation>
  </dataValidations>
  <pageMargins left="0.25" right="0.25"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553F6-4859-4F77-BD0B-A7082BEC7ADE}">
  <sheetPr>
    <tabColor rgb="FF00B050"/>
  </sheetPr>
  <dimension ref="A1:Y49"/>
  <sheetViews>
    <sheetView showGridLines="0" zoomScale="80" zoomScaleNormal="80" workbookViewId="0">
      <pane xSplit="8" ySplit="3" topLeftCell="I4" activePane="bottomRight" state="frozen"/>
      <selection pane="topRight" activeCell="G1" sqref="G1"/>
      <selection pane="bottomLeft" activeCell="A4" sqref="A4"/>
      <selection pane="bottomRight" activeCell="I16" sqref="I16"/>
    </sheetView>
  </sheetViews>
  <sheetFormatPr baseColWidth="10" defaultColWidth="11.44140625" defaultRowHeight="14.4" x14ac:dyDescent="0.3"/>
  <cols>
    <col min="1" max="1" width="21" style="3" customWidth="1"/>
    <col min="2" max="2" width="13.88671875" style="3" customWidth="1"/>
    <col min="3" max="3" width="17.88671875" style="3" bestFit="1" customWidth="1"/>
    <col min="4" max="5" width="17.88671875" style="3" customWidth="1"/>
    <col min="6" max="7" width="6.109375" style="3" customWidth="1"/>
    <col min="8" max="8" width="15.44140625" style="3" customWidth="1"/>
    <col min="9" max="17" width="5.33203125" style="3" customWidth="1"/>
    <col min="18" max="23" width="11.44140625" style="3"/>
    <col min="24" max="25" width="0" style="3" hidden="1" customWidth="1"/>
    <col min="26" max="16384" width="11.44140625" style="3"/>
  </cols>
  <sheetData>
    <row r="1" spans="1:25" ht="37.5" customHeight="1" thickBot="1" x14ac:dyDescent="0.35">
      <c r="A1" s="142" t="s">
        <v>28</v>
      </c>
      <c r="B1" s="142"/>
      <c r="C1" s="142"/>
      <c r="D1" s="142"/>
      <c r="E1" s="142"/>
      <c r="F1" s="142"/>
      <c r="G1" s="142"/>
      <c r="H1" s="142"/>
      <c r="I1" s="44">
        <v>1</v>
      </c>
      <c r="J1" s="34">
        <v>2</v>
      </c>
      <c r="K1" s="34">
        <v>3</v>
      </c>
      <c r="L1" s="34">
        <v>4</v>
      </c>
      <c r="M1" s="34">
        <v>5</v>
      </c>
      <c r="N1" s="34">
        <v>6</v>
      </c>
      <c r="O1" s="37">
        <v>7</v>
      </c>
      <c r="P1" s="37">
        <v>8</v>
      </c>
      <c r="Q1" s="37">
        <v>9</v>
      </c>
    </row>
    <row r="2" spans="1:25" ht="132.75" customHeight="1" thickTop="1" x14ac:dyDescent="0.3">
      <c r="A2" s="40"/>
      <c r="B2" s="40"/>
      <c r="C2" s="40"/>
      <c r="D2" s="40"/>
      <c r="E2" s="41"/>
      <c r="F2" s="143"/>
      <c r="G2" s="143"/>
      <c r="H2" s="144"/>
      <c r="I2" s="45"/>
      <c r="J2" s="35"/>
      <c r="K2" s="36"/>
      <c r="L2" s="36"/>
      <c r="M2" s="36"/>
      <c r="N2" s="36"/>
      <c r="O2" s="38"/>
      <c r="P2" s="38"/>
      <c r="Q2" s="39"/>
    </row>
    <row r="3" spans="1:25" ht="28.8" x14ac:dyDescent="0.3">
      <c r="A3" s="6" t="s">
        <v>0</v>
      </c>
      <c r="B3" s="6" t="s">
        <v>74</v>
      </c>
      <c r="C3" s="6" t="s">
        <v>79</v>
      </c>
      <c r="D3" s="6" t="s">
        <v>5</v>
      </c>
      <c r="E3" s="6" t="s">
        <v>6</v>
      </c>
      <c r="F3" s="151" t="s">
        <v>75</v>
      </c>
      <c r="G3" s="151"/>
      <c r="H3" s="16" t="s">
        <v>8</v>
      </c>
      <c r="I3" s="20" t="e">
        <f>SUM(IF(I4=$H$4,3,0)+IF(I5=$F4+$G4,1,0)+IF(I6=$H$6,3,0)+IF(I7=$F6+$G6,1,0)+IF(I8=$H$8,3,0)+IF(I9=$F8+$G8,1,0)+IF(I10=$H$10,3,0)+IF(I11=$F10+$G10,1,0)
+IF(#REF!=#REF!,3,0)+IF(#REF!=#REF!+#REF!,1,0)+IF(#REF!=#REF!,3,0)+IF(#REF!=#REF!+#REF!,1,0)+IF(#REF!=#REF!,3,0)+IF(#REF!=#REF!+#REF!,1,0)+IF(#REF!=#REF!,3,0)+IF(#REF!=#REF!+#REF!,1,0)+IF(#REF!=#REF!,3,0)+IF(#REF!=#REF!+#REF!,1,0)+IF(#REF!=#REF!,3,0)+IF(#REF!=#REF!+#REF!,1,0)+IF(#REF!=#REF!,3,0)+IF(#REF!=#REF!+#REF!,1,0)+IF(#REF!=#REF!,3,0)+IF(#REF!=#REF!+#REF!,1,0)+IF(I12=$H$12,3,0)+IF(I13=$F12+$G12,1,0)+IF(I14=$H$14,3,0)+IF(I15=$F14+$G14,1,0)+IF(I16=$H$16,3,0)+IF(I17=$F16+$G16,1,0)+IF(I18=$H$18,3,0)+IF(I19=$F18+$G18,1,0))</f>
        <v>#REF!</v>
      </c>
      <c r="J3" s="6" t="e">
        <f>SUM(IF(J4=$H$4,3,0)+IF(J5=$F4+$G4,1,0)+IF(J6=$H$6,3,0)+IF(J7=$F6+$G6,1,0)+IF(J8=$H$8,3,0)+IF(J9=$F8+$G8,1,0)+IF(J10=$H$10,3,0)+IF(J11=$F10+$G10,1,0)
+IF(#REF!=#REF!,3,0)+IF(#REF!=#REF!+#REF!,1,0)+IF(#REF!=#REF!,3,0)+IF(#REF!=#REF!+#REF!,1,0)+IF(#REF!=#REF!,3,0)+IF(#REF!=#REF!+#REF!,1,0)+IF(#REF!=#REF!,3,0)+IF(#REF!=#REF!+#REF!,1,0)+IF(#REF!=#REF!,3,0)+IF(#REF!=#REF!+#REF!,1,0)+IF(#REF!=#REF!,3,0)+IF(#REF!=#REF!+#REF!,1,0)+IF(#REF!=#REF!,3,0)+IF(#REF!=#REF!+#REF!,1,0)+IF(#REF!=#REF!,3,0)+IF(#REF!=#REF!+#REF!,1,0)+IF(J12=$H$12,3,0)+IF(J13=$F12+$G12,1,0)+IF(J14=$H$14,3,0)+IF(J15=$F14+$G14,1,0)+IF(J16=$H$16,3,0)+IF(J17=$F16+$G16,1,0)+IF(J18=$H$18,3,0)+IF(J19=$F18+$G18,1,0))</f>
        <v>#REF!</v>
      </c>
      <c r="K3" s="6" t="e">
        <f>SUM(IF(K4=$H$4,3,0)+IF(K5=$F4+$G4,1,0)+IF(K6=$H$6,3,0)+IF(K7=$F6+$G6,1,0)+IF(K8=$H$8,3,0)+IF(K9=$F8+$G8,1,0)+IF(K10=$H$10,3,0)+IF(K11=$F10+$G10,1,0)
+IF(#REF!=#REF!,3,0)+IF(#REF!=#REF!+#REF!,1,0)+IF(#REF!=#REF!,3,0)+IF(#REF!=#REF!+#REF!,1,0)+IF(#REF!=#REF!,3,0)+IF(#REF!=#REF!+#REF!,1,0)+IF(#REF!=#REF!,3,0)+IF(#REF!=#REF!+#REF!,1,0)+IF(#REF!=#REF!,3,0)+IF(#REF!=#REF!+#REF!,1,0)+IF(#REF!=#REF!,3,0)+IF(#REF!=#REF!+#REF!,1,0)+IF(#REF!=#REF!,3,0)+IF(#REF!=#REF!+#REF!,1,0)+IF(#REF!=#REF!,3,0)+IF(#REF!=#REF!+#REF!,1,0)+IF(K12=$H$12,3,0)+IF(K13=$F12+$G12,1,0)+IF(K14=$H$14,3,0)+IF(K15=$F14+$G14,1,0)+IF(K16=$H$16,3,0)+IF(K17=$F16+$G16,1,0)+IF(K18=$H$18,3,0)+IF(K19=$F18+$G18,1,0))</f>
        <v>#REF!</v>
      </c>
      <c r="L3" s="6" t="e">
        <f>SUM(IF(L4=$H$4,3,0)+IF(L5=$F4+$G4,1,0)+IF(L6=$H$6,3,0)+IF(L7=$F6+$G6,1,0)+IF(L8=$H$8,3,0)+IF(L9=$F8+$G8,1,0)+IF(L10=$H$10,3,0)+IF(L11=$F10+$G10,1,0)
+IF(#REF!=#REF!,3,0)+IF(#REF!=#REF!+#REF!,1,0)+IF(#REF!=#REF!,3,0)+IF(#REF!=#REF!+#REF!,1,0)+IF(#REF!=#REF!,3,0)+IF(#REF!=#REF!+#REF!,1,0)+IF(#REF!=#REF!,3,0)+IF(#REF!=#REF!+#REF!,1,0)+IF(#REF!=#REF!,3,0)+IF(#REF!=#REF!+#REF!,1,0)+IF(#REF!=#REF!,3,0)+IF(#REF!=#REF!+#REF!,1,0)+IF(#REF!=#REF!,3,0)+IF(#REF!=#REF!+#REF!,1,0)+IF(#REF!=#REF!,3,0)+IF(#REF!=#REF!+#REF!,1,0)+IF(L12=$H$12,3,0)+IF(L13=$F12+$G12,1,0)+IF(L14=$H$14,3,0)+IF(L15=$F14+$G14,1,0)+IF(L16=$H$16,3,0)+IF(L17=$F16+$G16,1,0)+IF(L18=$H$18,3,0)+IF(L19=$F18+$G18,1,0))</f>
        <v>#REF!</v>
      </c>
      <c r="M3" s="6" t="e">
        <f>SUM(IF(M4=$H$4,3,0)+IF(M5=$F4+$G4,1,0)+IF(M6=$H$6,3,0)+IF(M7=$F6+$G6,1,0)+IF(M8=$H$8,3,0)+IF(M9=$F8+$G8,1,0)+IF(M10=$H$10,3,0)+IF(M11=$F10+$G10,1,0)
+IF(#REF!=#REF!,3,0)+IF(#REF!=#REF!+#REF!,1,0)+IF(#REF!=#REF!,3,0)+IF(#REF!=#REF!+#REF!,1,0)+IF(#REF!=#REF!,3,0)+IF(#REF!=#REF!+#REF!,1,0)+IF(#REF!=#REF!,3,0)+IF(#REF!=#REF!+#REF!,1,0)+IF(#REF!=#REF!,3,0)+IF(#REF!=#REF!+#REF!,1,0)+IF(#REF!=#REF!,3,0)+IF(#REF!=#REF!+#REF!,1,0)+IF(#REF!=#REF!,3,0)+IF(#REF!=#REF!+#REF!,1,0)+IF(#REF!=#REF!,3,0)+IF(#REF!=#REF!+#REF!,1,0)+IF(M12=$H$12,3,0)+IF(M13=$F12+$G12,1,0)+IF(M14=$H$14,3,0)+IF(M15=$F14+$G14,1,0)+IF(M16=$H$16,3,0)+IF(M17=$F16+$G16,1,0)+IF(M18=$H$18,3,0)+IF(M19=$F18+$G18,1,0))</f>
        <v>#REF!</v>
      </c>
      <c r="N3" s="6" t="e">
        <f>SUM(IF(N4=$H$4,3,0)+IF(N5=$F4+$G4,1,0)+IF(N6=$H$6,3,0)+IF(N7=$F6+$G6,1,0)+IF(N8=$H$8,3,0)+IF(N9=$F8+$G8,1,0)+IF(N10=$H$10,3,0)+IF(N11=$F10+$G10,1,0)
+IF(#REF!=#REF!,3,0)+IF(#REF!=#REF!+#REF!,1,0)+IF(#REF!=#REF!,3,0)+IF(#REF!=#REF!+#REF!,1,0)+IF(#REF!=#REF!,3,0)+IF(#REF!=#REF!+#REF!,1,0)+IF(#REF!=#REF!,3,0)+IF(#REF!=#REF!+#REF!,1,0)+IF(#REF!=#REF!,3,0)+IF(#REF!=#REF!+#REF!,1,0)+IF(#REF!=#REF!,3,0)+IF(#REF!=#REF!+#REF!,1,0)+IF(#REF!=#REF!,3,0)+IF(#REF!=#REF!+#REF!,1,0)+IF(#REF!=#REF!,3,0)+IF(#REF!=#REF!+#REF!,1,0)+IF(N12=$H$12,3,0)+IF(N13=$F12+$G12,1,0)+IF(N14=$H$14,3,0)+IF(N15=$F14+$G14,1,0)+IF(N16=$H$16,3,0)+IF(N17=$F16+$G16,1,0)+IF(N18=$H$18,3,0)+IF(N19=$F18+$G18,1,0))</f>
        <v>#REF!</v>
      </c>
      <c r="O3" s="6" t="e">
        <f>SUM(IF(O4=$H$4,3,0)+IF(O5=$F4+$G4,1,0)+IF(O6=$H$6,3,0)+IF(O7=$F6+$G6,1,0)+IF(O8=$H$8,3,0)+IF(O9=$F8+$G8,1,0)+IF(O10=$H$10,3,0)+IF(O11=$F10+$G10,1,0)
+IF(#REF!=#REF!,3,0)+IF(#REF!=#REF!+#REF!,1,0)+IF(#REF!=#REF!,3,0)+IF(#REF!=#REF!+#REF!,1,0)+IF(#REF!=#REF!,3,0)+IF(#REF!=#REF!+#REF!,1,0)+IF(#REF!=#REF!,3,0)+IF(#REF!=#REF!+#REF!,1,0)+IF(#REF!=#REF!,3,0)+IF(#REF!=#REF!+#REF!,1,0)+IF(#REF!=#REF!,3,0)+IF(#REF!=#REF!+#REF!,1,0)+IF(#REF!=#REF!,3,0)+IF(#REF!=#REF!+#REF!,1,0)+IF(#REF!=#REF!,3,0)+IF(#REF!=#REF!+#REF!,1,0)+IF(O12=$H$12,3,0)+IF(O13=$F12+$G12,1,0)+IF(O14=$H$14,3,0)+IF(O15=$F14+$G14,1,0)+IF(O16=$H$16,3,0)+IF(O17=$F16+$G16,1,0)+IF(O18=$H$18,3,0)+IF(O19=$F18+$G18,1,0))</f>
        <v>#REF!</v>
      </c>
      <c r="P3" s="6" t="e">
        <f>SUM(IF(P4=$H$4,3,0)+IF(P5=$F4+$G4,1,0)+IF(P6=$H$6,3,0)+IF(P7=$F6+$G6,1,0)+IF(P8=$H$8,3,0)+IF(P9=$F8+$G8,1,0)+IF(P10=$H$10,3,0)+IF(P11=$F10+$G10,1,0)
+IF(#REF!=#REF!,3,0)+IF(#REF!=#REF!+#REF!,1,0)+IF(#REF!=#REF!,3,0)+IF(#REF!=#REF!+#REF!,1,0)+IF(#REF!=#REF!,3,0)+IF(#REF!=#REF!+#REF!,1,0)+IF(#REF!=#REF!,3,0)+IF(#REF!=#REF!+#REF!,1,0)+IF(#REF!=#REF!,3,0)+IF(#REF!=#REF!+#REF!,1,0)+IF(#REF!=#REF!,3,0)+IF(#REF!=#REF!+#REF!,1,0)+IF(#REF!=#REF!,3,0)+IF(#REF!=#REF!+#REF!,1,0)+IF(#REF!=#REF!,3,0)+IF(#REF!=#REF!+#REF!,1,0)+IF(P12=$H$12,3,0)+IF(P13=$F12+$G12,1,0)+IF(P14=$H$14,3,0)+IF(P15=$F14+$G14,1,0)+IF(P16=$H$16,3,0)+IF(P17=$F16+$G16,1,0)+IF(P18=$H$18,3,0)+IF(P19=$F18+$G18,1,0))</f>
        <v>#REF!</v>
      </c>
      <c r="Q3" s="21" t="e">
        <f>SUM(IF(Q4=$H$4,3,0)+IF(Q5=$F4+$G4,1,0)+IF(Q6=$H$6,3,0)+IF(Q7=$F6+$G6,1,0)+IF(Q8=$H$8,3,0)+IF(Q9=$F8+$G8,1,0)+IF(Q10=$H$10,3,0)+IF(Q11=$F10+$G10,1,0)
+IF(#REF!=#REF!,3,0)+IF(#REF!=#REF!+#REF!,1,0)+IF(#REF!=#REF!,3,0)+IF(#REF!=#REF!+#REF!,1,0)+IF(#REF!=#REF!,3,0)+IF(#REF!=#REF!+#REF!,1,0)+IF(#REF!=#REF!,3,0)+IF(#REF!=#REF!+#REF!,1,0)+IF(#REF!=#REF!,3,0)+IF(#REF!=#REF!+#REF!,1,0)+IF(#REF!=#REF!,3,0)+IF(#REF!=#REF!+#REF!,1,0)+IF(#REF!=#REF!,3,0)+IF(#REF!=#REF!+#REF!,1,0)+IF(#REF!=#REF!,3,0)+IF(#REF!=#REF!+#REF!,1,0)+IF(Q12=$H$12,3,0)+IF(Q13=$F12+$G12,1,0)+IF(Q14=$H$14,3,0)+IF(Q15=$F14+$G14,1,0)+IF(Q16=$H$16,3,0)+IF(Q17=$F16+$G16,1,0)+IF(Q18=$H$18,3,0)+IF(Q19=$F18+$G18,1,0))</f>
        <v>#REF!</v>
      </c>
    </row>
    <row r="4" spans="1:25" ht="12.75" customHeight="1" x14ac:dyDescent="0.3">
      <c r="A4" s="120" t="s">
        <v>77</v>
      </c>
      <c r="B4" s="117">
        <v>46207</v>
      </c>
      <c r="C4" s="149" t="s">
        <v>94</v>
      </c>
      <c r="D4" s="149" t="s">
        <v>9</v>
      </c>
      <c r="E4" s="149" t="s">
        <v>9</v>
      </c>
      <c r="F4" s="130"/>
      <c r="G4" s="130"/>
      <c r="H4" s="134" t="str">
        <f>IF(F4="","-",IF(F4&gt;G4,"L",IF(F4=G4,"E",IF(F4&lt;G4,"V"))))</f>
        <v>-</v>
      </c>
      <c r="I4" s="46"/>
      <c r="J4" s="17"/>
      <c r="K4" s="17"/>
      <c r="L4" s="17"/>
      <c r="M4" s="17"/>
      <c r="N4" s="17"/>
      <c r="O4" s="17"/>
      <c r="P4" s="17"/>
      <c r="Q4" s="22"/>
    </row>
    <row r="5" spans="1:25" ht="12.75" customHeight="1" x14ac:dyDescent="0.3">
      <c r="A5" s="121"/>
      <c r="B5" s="106"/>
      <c r="C5" s="150"/>
      <c r="D5" s="150"/>
      <c r="E5" s="150"/>
      <c r="F5" s="98"/>
      <c r="G5" s="98"/>
      <c r="H5" s="135"/>
      <c r="I5" s="23" t="s">
        <v>9</v>
      </c>
      <c r="J5" s="18" t="s">
        <v>9</v>
      </c>
      <c r="K5" s="18" t="s">
        <v>9</v>
      </c>
      <c r="L5" s="18" t="s">
        <v>9</v>
      </c>
      <c r="M5" s="18" t="s">
        <v>9</v>
      </c>
      <c r="N5" s="18" t="s">
        <v>9</v>
      </c>
      <c r="O5" s="18" t="s">
        <v>9</v>
      </c>
      <c r="P5" s="18" t="s">
        <v>9</v>
      </c>
      <c r="Q5" s="24" t="s">
        <v>9</v>
      </c>
      <c r="X5" s="47" t="s">
        <v>7</v>
      </c>
      <c r="Y5" s="48" t="s">
        <v>9</v>
      </c>
    </row>
    <row r="6" spans="1:25" ht="12.75" customHeight="1" x14ac:dyDescent="0.3">
      <c r="A6" s="121"/>
      <c r="B6" s="117">
        <v>46207</v>
      </c>
      <c r="C6" s="149" t="s">
        <v>87</v>
      </c>
      <c r="D6" s="149" t="s">
        <v>9</v>
      </c>
      <c r="E6" s="149" t="s">
        <v>9</v>
      </c>
      <c r="F6" s="130"/>
      <c r="G6" s="130"/>
      <c r="H6" s="134" t="str">
        <f t="shared" ref="H6:H18" si="0">IF(F6="","-",IF(F6&gt;G6,"L",IF(F6=G6,"E",IF(F6&lt;G6,"V"))))</f>
        <v>-</v>
      </c>
      <c r="I6" s="26"/>
      <c r="J6" s="13"/>
      <c r="K6" s="13"/>
      <c r="L6" s="13"/>
      <c r="M6" s="13"/>
      <c r="N6" s="13"/>
      <c r="O6" s="13"/>
      <c r="P6" s="13"/>
      <c r="Q6" s="25"/>
      <c r="X6" s="49" t="s">
        <v>16</v>
      </c>
      <c r="Y6" s="50">
        <v>0</v>
      </c>
    </row>
    <row r="7" spans="1:25" ht="12.75" customHeight="1" x14ac:dyDescent="0.3">
      <c r="A7" s="121"/>
      <c r="B7" s="106"/>
      <c r="C7" s="150"/>
      <c r="D7" s="150"/>
      <c r="E7" s="150"/>
      <c r="F7" s="98"/>
      <c r="G7" s="98"/>
      <c r="H7" s="135"/>
      <c r="I7" s="26" t="s">
        <v>9</v>
      </c>
      <c r="J7" s="13" t="s">
        <v>9</v>
      </c>
      <c r="K7" s="13" t="s">
        <v>9</v>
      </c>
      <c r="L7" s="13" t="s">
        <v>9</v>
      </c>
      <c r="M7" s="13" t="s">
        <v>9</v>
      </c>
      <c r="N7" s="13" t="s">
        <v>9</v>
      </c>
      <c r="O7" s="13" t="s">
        <v>9</v>
      </c>
      <c r="P7" s="13" t="s">
        <v>9</v>
      </c>
      <c r="Q7" s="25" t="s">
        <v>9</v>
      </c>
      <c r="X7" s="49" t="s">
        <v>15</v>
      </c>
      <c r="Y7" s="50">
        <v>1</v>
      </c>
    </row>
    <row r="8" spans="1:25" ht="12.75" customHeight="1" x14ac:dyDescent="0.3">
      <c r="A8" s="121"/>
      <c r="B8" s="117">
        <v>46209</v>
      </c>
      <c r="C8" s="149" t="s">
        <v>88</v>
      </c>
      <c r="D8" s="149" t="s">
        <v>9</v>
      </c>
      <c r="E8" s="149" t="s">
        <v>9</v>
      </c>
      <c r="F8" s="130"/>
      <c r="G8" s="130"/>
      <c r="H8" s="134" t="str">
        <f t="shared" si="0"/>
        <v>-</v>
      </c>
      <c r="I8" s="23"/>
      <c r="J8" s="18"/>
      <c r="K8" s="18"/>
      <c r="L8" s="18"/>
      <c r="M8" s="18"/>
      <c r="N8" s="18"/>
      <c r="O8" s="18"/>
      <c r="P8" s="18"/>
      <c r="Q8" s="24"/>
      <c r="X8" s="49"/>
      <c r="Y8" s="50">
        <v>2</v>
      </c>
    </row>
    <row r="9" spans="1:25" ht="12.75" customHeight="1" x14ac:dyDescent="0.3">
      <c r="A9" s="121"/>
      <c r="B9" s="106"/>
      <c r="C9" s="150"/>
      <c r="D9" s="150"/>
      <c r="E9" s="150"/>
      <c r="F9" s="98"/>
      <c r="G9" s="98"/>
      <c r="H9" s="135"/>
      <c r="I9" s="23" t="s">
        <v>9</v>
      </c>
      <c r="J9" s="18" t="s">
        <v>9</v>
      </c>
      <c r="K9" s="18" t="s">
        <v>9</v>
      </c>
      <c r="L9" s="18" t="s">
        <v>9</v>
      </c>
      <c r="M9" s="18" t="s">
        <v>9</v>
      </c>
      <c r="N9" s="18" t="s">
        <v>9</v>
      </c>
      <c r="O9" s="18" t="s">
        <v>9</v>
      </c>
      <c r="P9" s="18" t="s">
        <v>9</v>
      </c>
      <c r="Q9" s="24" t="s">
        <v>9</v>
      </c>
      <c r="X9" s="49"/>
      <c r="Y9" s="50">
        <v>3</v>
      </c>
    </row>
    <row r="10" spans="1:25" ht="12.75" customHeight="1" x14ac:dyDescent="0.3">
      <c r="A10" s="121"/>
      <c r="B10" s="117">
        <v>46209</v>
      </c>
      <c r="C10" s="149" t="s">
        <v>86</v>
      </c>
      <c r="D10" s="149" t="s">
        <v>9</v>
      </c>
      <c r="E10" s="149" t="s">
        <v>9</v>
      </c>
      <c r="F10" s="130"/>
      <c r="G10" s="130"/>
      <c r="H10" s="134" t="str">
        <f t="shared" si="0"/>
        <v>-</v>
      </c>
      <c r="I10" s="26"/>
      <c r="J10" s="13"/>
      <c r="K10" s="13"/>
      <c r="L10" s="13"/>
      <c r="M10" s="13"/>
      <c r="N10" s="13"/>
      <c r="O10" s="13"/>
      <c r="P10" s="13"/>
      <c r="Q10" s="25"/>
      <c r="X10" s="49"/>
      <c r="Y10" s="50">
        <v>4</v>
      </c>
    </row>
    <row r="11" spans="1:25" ht="12.75" customHeight="1" x14ac:dyDescent="0.3">
      <c r="A11" s="121"/>
      <c r="B11" s="106"/>
      <c r="C11" s="150"/>
      <c r="D11" s="150"/>
      <c r="E11" s="150"/>
      <c r="F11" s="98"/>
      <c r="G11" s="98"/>
      <c r="H11" s="135"/>
      <c r="I11" s="26" t="s">
        <v>9</v>
      </c>
      <c r="J11" s="13" t="s">
        <v>9</v>
      </c>
      <c r="K11" s="13" t="s">
        <v>9</v>
      </c>
      <c r="L11" s="13" t="s">
        <v>9</v>
      </c>
      <c r="M11" s="13" t="s">
        <v>9</v>
      </c>
      <c r="N11" s="13" t="s">
        <v>9</v>
      </c>
      <c r="O11" s="13" t="s">
        <v>9</v>
      </c>
      <c r="P11" s="13" t="s">
        <v>9</v>
      </c>
      <c r="Q11" s="25" t="s">
        <v>9</v>
      </c>
      <c r="X11" s="49"/>
      <c r="Y11" s="50">
        <v>5</v>
      </c>
    </row>
    <row r="12" spans="1:25" ht="12.75" customHeight="1" x14ac:dyDescent="0.3">
      <c r="A12" s="120" t="s">
        <v>78</v>
      </c>
      <c r="B12" s="116">
        <v>46208</v>
      </c>
      <c r="C12" s="154" t="s">
        <v>81</v>
      </c>
      <c r="D12" s="154" t="s">
        <v>9</v>
      </c>
      <c r="E12" s="154" t="s">
        <v>9</v>
      </c>
      <c r="F12" s="125"/>
      <c r="G12" s="125"/>
      <c r="H12" s="123" t="str">
        <f t="shared" si="0"/>
        <v>-</v>
      </c>
      <c r="I12" s="27"/>
      <c r="J12" s="19"/>
      <c r="K12" s="19"/>
      <c r="L12" s="19"/>
      <c r="M12" s="19"/>
      <c r="N12" s="19"/>
      <c r="O12" s="19"/>
      <c r="P12" s="19"/>
      <c r="Q12" s="28"/>
    </row>
    <row r="13" spans="1:25" ht="12.75" customHeight="1" x14ac:dyDescent="0.3">
      <c r="A13" s="121"/>
      <c r="B13" s="108"/>
      <c r="C13" s="153"/>
      <c r="D13" s="153"/>
      <c r="E13" s="153"/>
      <c r="F13" s="100"/>
      <c r="G13" s="100"/>
      <c r="H13" s="124"/>
      <c r="I13" s="27" t="s">
        <v>9</v>
      </c>
      <c r="J13" s="19" t="s">
        <v>9</v>
      </c>
      <c r="K13" s="19" t="s">
        <v>9</v>
      </c>
      <c r="L13" s="19" t="s">
        <v>9</v>
      </c>
      <c r="M13" s="19" t="s">
        <v>9</v>
      </c>
      <c r="N13" s="19" t="s">
        <v>9</v>
      </c>
      <c r="O13" s="19" t="s">
        <v>9</v>
      </c>
      <c r="P13" s="19" t="s">
        <v>9</v>
      </c>
      <c r="Q13" s="28" t="s">
        <v>9</v>
      </c>
    </row>
    <row r="14" spans="1:25" ht="12.75" customHeight="1" x14ac:dyDescent="0.3">
      <c r="A14" s="121"/>
      <c r="B14" s="116">
        <v>46208</v>
      </c>
      <c r="C14" s="154" t="s">
        <v>89</v>
      </c>
      <c r="D14" s="154" t="s">
        <v>9</v>
      </c>
      <c r="E14" s="157" t="s">
        <v>9</v>
      </c>
      <c r="F14" s="125"/>
      <c r="G14" s="125"/>
      <c r="H14" s="123" t="str">
        <f t="shared" si="0"/>
        <v>-</v>
      </c>
      <c r="I14" s="26"/>
      <c r="J14" s="13"/>
      <c r="K14" s="13"/>
      <c r="L14" s="13"/>
      <c r="M14" s="13"/>
      <c r="N14" s="13"/>
      <c r="O14" s="13"/>
      <c r="P14" s="13"/>
      <c r="Q14" s="25"/>
    </row>
    <row r="15" spans="1:25" ht="12.75" customHeight="1" x14ac:dyDescent="0.3">
      <c r="A15" s="121"/>
      <c r="B15" s="108"/>
      <c r="C15" s="153"/>
      <c r="D15" s="153"/>
      <c r="E15" s="158"/>
      <c r="F15" s="100"/>
      <c r="G15" s="100"/>
      <c r="H15" s="124"/>
      <c r="I15" s="26" t="s">
        <v>9</v>
      </c>
      <c r="J15" s="13" t="s">
        <v>9</v>
      </c>
      <c r="K15" s="13" t="s">
        <v>9</v>
      </c>
      <c r="L15" s="13" t="s">
        <v>9</v>
      </c>
      <c r="M15" s="13" t="s">
        <v>9</v>
      </c>
      <c r="N15" s="13" t="s">
        <v>9</v>
      </c>
      <c r="O15" s="13" t="s">
        <v>9</v>
      </c>
      <c r="P15" s="13" t="s">
        <v>9</v>
      </c>
      <c r="Q15" s="25" t="s">
        <v>9</v>
      </c>
    </row>
    <row r="16" spans="1:25" ht="12.75" customHeight="1" x14ac:dyDescent="0.3">
      <c r="A16" s="121"/>
      <c r="B16" s="116">
        <v>46210</v>
      </c>
      <c r="C16" s="154" t="s">
        <v>90</v>
      </c>
      <c r="D16" s="154" t="s">
        <v>9</v>
      </c>
      <c r="E16" s="157" t="s">
        <v>9</v>
      </c>
      <c r="F16" s="125"/>
      <c r="G16" s="125"/>
      <c r="H16" s="123" t="str">
        <f t="shared" si="0"/>
        <v>-</v>
      </c>
      <c r="I16" s="27"/>
      <c r="J16" s="19"/>
      <c r="K16" s="19"/>
      <c r="L16" s="19"/>
      <c r="M16" s="19"/>
      <c r="N16" s="19"/>
      <c r="O16" s="19"/>
      <c r="P16" s="19"/>
      <c r="Q16" s="28"/>
    </row>
    <row r="17" spans="1:17" ht="12.75" customHeight="1" x14ac:dyDescent="0.3">
      <c r="A17" s="121"/>
      <c r="B17" s="108"/>
      <c r="C17" s="153"/>
      <c r="D17" s="153"/>
      <c r="E17" s="158"/>
      <c r="F17" s="100"/>
      <c r="G17" s="100"/>
      <c r="H17" s="124"/>
      <c r="I17" s="27" t="s">
        <v>9</v>
      </c>
      <c r="J17" s="19" t="s">
        <v>9</v>
      </c>
      <c r="K17" s="19" t="s">
        <v>9</v>
      </c>
      <c r="L17" s="19" t="s">
        <v>9</v>
      </c>
      <c r="M17" s="19" t="s">
        <v>9</v>
      </c>
      <c r="N17" s="19" t="s">
        <v>9</v>
      </c>
      <c r="O17" s="19" t="s">
        <v>9</v>
      </c>
      <c r="P17" s="19" t="s">
        <v>9</v>
      </c>
      <c r="Q17" s="28" t="s">
        <v>9</v>
      </c>
    </row>
    <row r="18" spans="1:17" ht="12.75" customHeight="1" x14ac:dyDescent="0.3">
      <c r="A18" s="121"/>
      <c r="B18" s="116">
        <v>46210</v>
      </c>
      <c r="C18" s="154" t="s">
        <v>92</v>
      </c>
      <c r="D18" s="154" t="s">
        <v>9</v>
      </c>
      <c r="E18" s="154" t="s">
        <v>9</v>
      </c>
      <c r="F18" s="125"/>
      <c r="G18" s="125"/>
      <c r="H18" s="123" t="str">
        <f t="shared" si="0"/>
        <v>-</v>
      </c>
      <c r="I18" s="26"/>
      <c r="J18" s="13"/>
      <c r="K18" s="13"/>
      <c r="L18" s="13"/>
      <c r="M18" s="13"/>
      <c r="N18" s="13"/>
      <c r="O18" s="13"/>
      <c r="P18" s="13"/>
      <c r="Q18" s="25"/>
    </row>
    <row r="19" spans="1:17" ht="12.75" customHeight="1" x14ac:dyDescent="0.3">
      <c r="A19" s="122"/>
      <c r="B19" s="108"/>
      <c r="C19" s="153"/>
      <c r="D19" s="153"/>
      <c r="E19" s="153"/>
      <c r="F19" s="100"/>
      <c r="G19" s="100"/>
      <c r="H19" s="124"/>
      <c r="I19" s="26" t="s">
        <v>9</v>
      </c>
      <c r="J19" s="13" t="s">
        <v>9</v>
      </c>
      <c r="K19" s="13" t="s">
        <v>9</v>
      </c>
      <c r="L19" s="13" t="s">
        <v>9</v>
      </c>
      <c r="M19" s="13" t="s">
        <v>9</v>
      </c>
      <c r="N19" s="13" t="s">
        <v>9</v>
      </c>
      <c r="O19" s="13" t="s">
        <v>9</v>
      </c>
      <c r="P19" s="13" t="s">
        <v>9</v>
      </c>
      <c r="Q19" s="25" t="s">
        <v>9</v>
      </c>
    </row>
    <row r="20" spans="1:17" ht="12.75" customHeight="1" x14ac:dyDescent="0.3">
      <c r="E20" s="159" t="s">
        <v>10</v>
      </c>
      <c r="F20" s="159"/>
      <c r="G20" s="159"/>
      <c r="H20" s="5">
        <f>SUM(F4:G19)</f>
        <v>0</v>
      </c>
      <c r="I20" s="51" t="e">
        <f>SUM(I19,I17,I15,I13,#REF!,#REF!,#REF!,#REF!,#REF!,#REF!,#REF!,#REF!,I11,I9,I7,I5)</f>
        <v>#REF!</v>
      </c>
      <c r="J20" s="15" t="e">
        <f>SUM(J19,J17,J15,J13,#REF!,#REF!,#REF!,#REF!,#REF!,#REF!,#REF!,#REF!,J11,J9,J7,J5)</f>
        <v>#REF!</v>
      </c>
      <c r="K20" s="15" t="e">
        <f>SUM(K19,K17,K15,K13,#REF!,#REF!,#REF!,#REF!,#REF!,#REF!,#REF!,#REF!,K11,K9,K7,K5)</f>
        <v>#REF!</v>
      </c>
      <c r="L20" s="15" t="e">
        <f>SUM(L19,L17,L15,L13,#REF!,#REF!,#REF!,#REF!,#REF!,#REF!,#REF!,#REF!,L11,L9,L7,L5)</f>
        <v>#REF!</v>
      </c>
      <c r="M20" s="15" t="e">
        <f>SUM(M19,M17,M15,M13,#REF!,#REF!,#REF!,#REF!,#REF!,#REF!,#REF!,#REF!,M11,M9,M7,M5)</f>
        <v>#REF!</v>
      </c>
      <c r="N20" s="15" t="e">
        <f>SUM(N19,N17,N15,N13,#REF!,#REF!,#REF!,#REF!,#REF!,#REF!,#REF!,#REF!,N11,N9,N7,N5)</f>
        <v>#REF!</v>
      </c>
      <c r="O20" s="15" t="e">
        <f>SUM(O19,O17,O15,O13,#REF!,#REF!,#REF!,#REF!,#REF!,#REF!,#REF!,#REF!,O11,O9,O7,O5)</f>
        <v>#REF!</v>
      </c>
      <c r="P20" s="15" t="e">
        <f>SUM(P19,P17,P15,P13,#REF!,#REF!,#REF!,#REF!,#REF!,#REF!,#REF!,#REF!,P11,P9,P7,P5)</f>
        <v>#REF!</v>
      </c>
      <c r="Q20" s="30" t="e">
        <f>SUM(Q19,Q17,Q15,Q13,#REF!,#REF!,#REF!,#REF!,#REF!,#REF!,#REF!,#REF!,Q11,Q9,Q7,Q5)</f>
        <v>#REF!</v>
      </c>
    </row>
    <row r="21" spans="1:17" ht="33" customHeight="1" thickBot="1" x14ac:dyDescent="0.35">
      <c r="E21" s="137" t="s">
        <v>14</v>
      </c>
      <c r="F21" s="137"/>
      <c r="G21" s="137"/>
      <c r="H21" s="137"/>
      <c r="I21" s="31" t="e">
        <f t="shared" ref="I21:Q21" si="1">SUM(I22:I25)</f>
        <v>#REF!</v>
      </c>
      <c r="J21" s="32" t="e">
        <f t="shared" si="1"/>
        <v>#REF!</v>
      </c>
      <c r="K21" s="32" t="e">
        <f t="shared" si="1"/>
        <v>#REF!</v>
      </c>
      <c r="L21" s="32" t="e">
        <f t="shared" si="1"/>
        <v>#REF!</v>
      </c>
      <c r="M21" s="32" t="e">
        <f t="shared" si="1"/>
        <v>#REF!</v>
      </c>
      <c r="N21" s="32" t="e">
        <f t="shared" si="1"/>
        <v>#REF!</v>
      </c>
      <c r="O21" s="32" t="e">
        <f t="shared" si="1"/>
        <v>#REF!</v>
      </c>
      <c r="P21" s="32" t="e">
        <f t="shared" si="1"/>
        <v>#REF!</v>
      </c>
      <c r="Q21" s="33" t="e">
        <f t="shared" si="1"/>
        <v>#REF!</v>
      </c>
    </row>
    <row r="22" spans="1:17" ht="15" thickTop="1" x14ac:dyDescent="0.3">
      <c r="I22" s="4" t="e">
        <f>IF(I20=$H$20,100,IF($H$20-I20=1,99,IF($H$20-I20=-1,99,IF($H$20-I20=2,98,IF($H$20-I20=-2,98,IF($H$20-I20=3,97,IF($H$20-I20=-3,97,IF($H$20-I20=4,96,IF($H$20-I20=-4,96,IF($H$20-I20=5,95,IF($H$20-I20=-5,95,IF($H$20-I20=6,94,IF($H$20-I20=-6,94,IF($H$20-I20=7,93,IF($H$20-I20=-7,93,IF($H$20-I20=8,92,IF($H$20-I20=-8,92,IF($H$20-I20=9,91,IF($H$20-I20=-9,91,IF($H$20-I20=10,90,IF($H$20-I20=-10,90,IF($H$20-I20=11,89,IF($H$20-I20=-11,89,IF($H$20-I20=12,88,IF($H$20-I20=-12,88,IF($H$20-I20=13,87,IF($H$20-I20=-13,87,IF($H$20-I20=14,86,IF($H$20-I20=-14,86,IF($H$20-I20=15,85,IF($H$20-I20=-15,85,IF($H$20-I20=16,84,IF($H$20-I20=-16,84,IF($H$20-I20=17,83,IF($H$20-I20=-17,83,IF($H$20-I20=18,82,IF($H$20-I20=-18,82,IF($H$20-I20=19,81,IF($H$20-I20=-19,81,IF($H$20-I20=20,80,IF($H$20-I20=-20,80,IF($H$20-I20=21,79,IF($H$20-I20=-21,79,IF($H$20-I20=22,78,IF($H$20-I20=-22,78,IF($H$20-I20=23,77,IF($H$20-I20=-23,77,IF($H$20-I20=24,76,IF($H$20-I20=-24,76,IF($H$20-I20=25,75,IF($H$20-I20=-25,75,IF($H$20-I20=26,74,IF($H$20-I20=-26,74,IF($H$20-I20=27,73,IF($H$20-I20=-27,73,IF($H$20-I20=28,72,IF($H$20-I20=-28,72,IF($H$20-I20=29,71,IF($H$20-I20=-29,71,IF($H$20-I20=30,70,IF($H$20-I20=-30,70,IF($H$20-I20=31,69,IF($H$20-I20=-31,69,IF($H$20-I20=32,68,IF($H$20-I20=-32,68,0)))))))))))))))))))))))))))))))))))))))))))))))))))))))))))))))))</f>
        <v>#REF!</v>
      </c>
      <c r="J22" s="4" t="e">
        <f t="shared" ref="J22:Q22" si="2">IF(J20=$H$20,100,IF($H$20-J20=1,99,IF($H$20-J20=-1,99,IF($H$20-J20=2,98,IF($H$20-J20=-2,98,IF($H$20-J20=3,97,IF($H$20-J20=-3,97,IF($H$20-J20=4,96,IF($H$20-J20=-4,96,IF($H$20-J20=5,95,IF($H$20-J20=-5,95,IF($H$20-J20=6,94,IF($H$20-J20=-6,94,IF($H$20-J20=7,93,IF($H$20-J20=-7,93,IF($H$20-J20=8,92,IF($H$20-J20=-8,92,IF($H$20-J20=9,91,IF($H$20-J20=-9,91,IF($H$20-J20=10,90,IF($H$20-J20=-10,90,IF($H$20-J20=11,89,IF($H$20-J20=-11,89,IF($H$20-J20=12,88,IF($H$20-J20=-12,88,IF($H$20-J20=13,87,IF($H$20-J20=-13,87,IF($H$20-J20=14,86,IF($H$20-J20=-14,86,IF($H$20-J20=15,85,IF($H$20-J20=-15,85,IF($H$20-J20=16,84,IF($H$20-J20=-16,84,IF($H$20-J20=17,83,IF($H$20-J20=-17,83,IF($H$20-J20=18,82,IF($H$20-J20=-18,82,IF($H$20-J20=19,81,IF($H$20-J20=-19,81,IF($H$20-J20=20,80,IF($H$20-J20=-20,80,IF($H$20-J20=21,79,IF($H$20-J20=-21,79,IF($H$20-J20=22,78,IF($H$20-J20=-22,78,IF($H$20-J20=23,77,IF($H$20-J20=-23,77,IF($H$20-J20=24,76,IF($H$20-J20=-24,76,IF($H$20-J20=25,75,IF($H$20-J20=-25,75,IF($H$20-J20=26,74,IF($H$20-J20=-26,74,IF($H$20-J20=27,73,IF($H$20-J20=-27,73,IF($H$20-J20=28,72,IF($H$20-J20=-28,72,IF($H$20-J20=29,71,IF($H$20-J20=-29,71,IF($H$20-J20=30,70,IF($H$20-J20=-30,70,IF($H$20-J20=31,69,IF($H$20-J20=-31,69,IF($H$20-J20=32,68,IF($H$20-J20=-32,68,0)))))))))))))))))))))))))))))))))))))))))))))))))))))))))))))))))</f>
        <v>#REF!</v>
      </c>
      <c r="K22" s="4" t="e">
        <f t="shared" si="2"/>
        <v>#REF!</v>
      </c>
      <c r="L22" s="4" t="e">
        <f t="shared" si="2"/>
        <v>#REF!</v>
      </c>
      <c r="M22" s="4" t="e">
        <f t="shared" si="2"/>
        <v>#REF!</v>
      </c>
      <c r="N22" s="4" t="e">
        <f t="shared" si="2"/>
        <v>#REF!</v>
      </c>
      <c r="O22" s="4" t="e">
        <f t="shared" si="2"/>
        <v>#REF!</v>
      </c>
      <c r="P22" s="4" t="e">
        <f t="shared" si="2"/>
        <v>#REF!</v>
      </c>
      <c r="Q22" s="4" t="e">
        <f t="shared" si="2"/>
        <v>#REF!</v>
      </c>
    </row>
    <row r="23" spans="1:17" x14ac:dyDescent="0.3">
      <c r="I23" s="4" t="e">
        <f>IF($H$20-I20=33,67,IF($H$20-I20=-33,67,IF($H$20-I20=34,66,IF($H$20-I20=-34,66,IF($H$20-I20=35,65,IF($H$20-I20=-35,65,IF($H$20-I20=36,64,IF($H$20-I20=-36,64,IF($H$20-I20=37,63,IF($H$20-I20=-37,63,IF($H$20-I20=38,62,IF($H$20-I20=-38,62,IF($H$20-I20=39,61,IF($H$20-I20=-39,61,IF($H$20-I20=40,60,IF($H$20-I20=-40,60,IF($H$20-I20=41,59,IF($H$20-I20=-41,59,IF($H$20-I20=42,58,IF($H$20-I20=-42,58,IF($H$20-I20=43,57,IF($H$20-I20=-43,57,IF($H$20-I20=44,56,IF($H$20-I20=-44,56,IF($H$20-I20=45,55,IF($H$20-I20=-45,55,IF($H$20-I20=46,54,IF($H$20-I20=-46,54,IF($H$20-I20=47,53,IF($H$20-I20=-47,53,IF($H$20-I20=48,52,IF($H$20-I20=-48,52,IF($H$20-I20=49,51,IF($H$20-I20=-49,51,IF($H$20-I20=50,50,IF($H$20-I20=-50,50,IF($H$20-I20=51,49,IF($H$20-I20=-51,49,IF($H$20-I20=52,48,IF($H$20-I20=-52,48,IF($H$20-I20=53,47,IF($H$20-I20=-53,47,IF($H$20-I20=54,46,IF($H$20-I20=-54,46,IF($H$20-I20=55,45,IF($H$20-I20=-55,45,IF($H$20-I20=56,44,IF($H$20-I20=-56,44,IF($H$20-I20=57,43,IF($H$20-I20=-57,43,IF($H$20-I20=58,42,IF($H$20-I20=-58,42,IF($H$20-I20=59,41,IF($H$20-I20=-59,41,IF($H$20-I20=60,40,IF($H$20-I20=-60,40,IF($H$20-I20=61,39,IF($H$20-I20=-61,39,IF($H$20-I20=62,38,IF($H$20-I20=-62,38,IF($H$20-I20=63,37,IF($H$20-I20=-63,37,IF($H$20-I20=64,36,IF($H$20-I20=-64,36,IF($H$20-I20=65,35,0)))))))))))))))))))))))))))))))))))))))))))))))))))))))))))))))))</f>
        <v>#REF!</v>
      </c>
      <c r="J23" s="4" t="e">
        <f t="shared" ref="J23:Q23" si="3">IF($H$20-J20=33,67,IF($H$20-J20=-33,67,IF($H$20-J20=34,66,IF($H$20-J20=-34,66,IF($H$20-J20=35,65,IF($H$20-J20=-35,65,IF($H$20-J20=36,64,IF($H$20-J20=-36,64,IF($H$20-J20=37,63,IF($H$20-J20=-37,63,IF($H$20-J20=38,62,IF($H$20-J20=-38,62,IF($H$20-J20=39,61,IF($H$20-J20=-39,61,IF($H$20-J20=40,60,IF($H$20-J20=-40,60,IF($H$20-J20=41,59,IF($H$20-J20=-41,59,IF($H$20-J20=42,58,IF($H$20-J20=-42,58,IF($H$20-J20=43,57,IF($H$20-J20=-43,57,IF($H$20-J20=44,56,IF($H$20-J20=-44,56,IF($H$20-J20=45,55,IF($H$20-J20=-45,55,IF($H$20-J20=46,54,IF($H$20-J20=-46,54,IF($H$20-J20=47,53,IF($H$20-J20=-47,53,IF($H$20-J20=48,52,IF($H$20-J20=-48,52,IF($H$20-J20=49,51,IF($H$20-J20=-49,51,IF($H$20-J20=50,50,IF($H$20-J20=-50,50,IF($H$20-J20=51,49,IF($H$20-J20=-51,49,IF($H$20-J20=52,48,IF($H$20-J20=-52,48,IF($H$20-J20=53,47,IF($H$20-J20=-53,47,IF($H$20-J20=54,46,IF($H$20-J20=-54,46,IF($H$20-J20=55,45,IF($H$20-J20=-55,45,IF($H$20-J20=56,44,IF($H$20-J20=-56,44,IF($H$20-J20=57,43,IF($H$20-J20=-57,43,IF($H$20-J20=58,42,IF($H$20-J20=-58,42,IF($H$20-J20=59,41,IF($H$20-J20=-59,41,IF($H$20-J20=60,40,IF($H$20-J20=-60,40,IF($H$20-J20=61,39,IF($H$20-J20=-61,39,IF($H$20-J20=62,38,IF($H$20-J20=-62,38,IF($H$20-J20=63,37,IF($H$20-J20=-63,37,IF($H$20-J20=64,36,IF($H$20-J20=-64,36,IF($H$20-J20=65,35,0)))))))))))))))))))))))))))))))))))))))))))))))))))))))))))))))))</f>
        <v>#REF!</v>
      </c>
      <c r="K23" s="4" t="e">
        <f t="shared" si="3"/>
        <v>#REF!</v>
      </c>
      <c r="L23" s="4" t="e">
        <f t="shared" si="3"/>
        <v>#REF!</v>
      </c>
      <c r="M23" s="4" t="e">
        <f t="shared" si="3"/>
        <v>#REF!</v>
      </c>
      <c r="N23" s="4" t="e">
        <f t="shared" si="3"/>
        <v>#REF!</v>
      </c>
      <c r="O23" s="4" t="e">
        <f t="shared" si="3"/>
        <v>#REF!</v>
      </c>
      <c r="P23" s="4" t="e">
        <f t="shared" si="3"/>
        <v>#REF!</v>
      </c>
      <c r="Q23" s="4" t="e">
        <f t="shared" si="3"/>
        <v>#REF!</v>
      </c>
    </row>
    <row r="24" spans="1:17" x14ac:dyDescent="0.3">
      <c r="I24" s="4" t="e">
        <f>IF($H$20-I20=-65,35,IF($H$20-I20=66,34,IF($H$20-I20=-66,34,IF($H$20-I20=67,33,IF($H$20-I20=-67,33,IF($H$20-I20=68,32,IF($H$20-I20=-68,32,IF($H$20-I20=69,31,IF($H$20-I20=-69,31,IF($H$20-I20=70,30,IF($H$20-I20=-70,30,IF($H$20-I20=71,29,IF($H$20-I20=-71,29,IF($H$20-I20=72,28,IF($H$20-I20=-72,28,IF($H$20-I20=73,27,IF($H$20-I20=-73,27,IF($H$20-I20=74,26,IF($H$20-I20=-74,26,IF($H$20-I20=75,25,IF($H$20-I20=-75,25,IF($H$20-I20=76,24,IF($H$20-I20=-76,24,IF($H$20-I20=77,23,IF($H$20-I20=-77,23,IF($H$20-I20=78,22,IF($H$20-I20=-78,22,IF($H$20-I20=79,21,IF($H$20-I20=-79,21,IF($H$20-I20=80,20,IF($H$20-I20=-80,20,IF($H$20-I20=81,19,IF($H$20-I20=-81,19,IF($H$20-I20=82,18,IF($H$20-I20=-82,18,IF($H$20-I20=83,17,IF($H$20-I20=-83,17,IF($H$20-I20=84,16,IF($H$20-I20=-84,16,IF($H$20-I20=85,15,IF($H$20-I20=-85,15,IF($H$20-I20=86,14,IF($H$20-I20=-86,14,IF($H$20-I20=87,13,IF($H$20-I20=-87,13,IF($H$20-I20=88,12,IF($H$20-I20=-88,12,IF($H$20-I20=89,11,IF($H$20-I20=-89,11,IF($H$20-I20=90,10,IF($H$20-I20=-90,10,IF($H$20-I20=91,9,IF($H$20-I20=-91,9,IF($H$20-I20=92,8,IF($H$20-I20=-92,8,IF($H$20-I20=93,7,IF($H$20-I20=-93,7,IF($H$20-I20=94,6,IF($H$20-I20=-94,6,IF($H$20-I20=95,5,IF($H$20-I20=-95,5,IF($H$20-I20=96,4,0))))))))))))))))))))))))))))))))))))))))))))))))))))))))))))))</f>
        <v>#REF!</v>
      </c>
      <c r="J24" s="4" t="e">
        <f t="shared" ref="J24:Q24" si="4">IF($H$20-J20=-65,35,IF($H$20-J20=66,34,IF($H$20-J20=-66,34,IF($H$20-J20=67,33,IF($H$20-J20=-67,33,IF($H$20-J20=68,32,IF($H$20-J20=-68,32,IF($H$20-J20=69,31,IF($H$20-J20=-69,31,IF($H$20-J20=70,30,IF($H$20-J20=-70,30,IF($H$20-J20=71,29,IF($H$20-J20=-71,29,IF($H$20-J20=72,28,IF($H$20-J20=-72,28,IF($H$20-J20=73,27,IF($H$20-J20=-73,27,IF($H$20-J20=74,26,IF($H$20-J20=-74,26,IF($H$20-J20=75,25,IF($H$20-J20=-75,25,IF($H$20-J20=76,24,IF($H$20-J20=-76,24,IF($H$20-J20=77,23,IF($H$20-J20=-77,23,IF($H$20-J20=78,22,IF($H$20-J20=-78,22,IF($H$20-J20=79,21,IF($H$20-J20=-79,21,IF($H$20-J20=80,20,IF($H$20-J20=-80,20,IF($H$20-J20=81,19,IF($H$20-J20=-81,19,IF($H$20-J20=82,18,IF($H$20-J20=-82,18,IF($H$20-J20=83,17,IF($H$20-J20=-83,17,IF($H$20-J20=84,16,IF($H$20-J20=-84,16,IF($H$20-J20=85,15,IF($H$20-J20=-85,15,IF($H$20-J20=86,14,IF($H$20-J20=-86,14,IF($H$20-J20=87,13,IF($H$20-J20=-87,13,IF($H$20-J20=88,12,IF($H$20-J20=-88,12,IF($H$20-J20=89,11,IF($H$20-J20=-89,11,IF($H$20-J20=90,10,IF($H$20-J20=-90,10,IF($H$20-J20=91,9,IF($H$20-J20=-91,9,IF($H$20-J20=92,8,IF($H$20-J20=-92,8,IF($H$20-J20=93,7,IF($H$20-J20=-93,7,IF($H$20-J20=94,6,IF($H$20-J20=-94,6,IF($H$20-J20=95,5,IF($H$20-J20=-95,5,IF($H$20-J20=96,4,0))))))))))))))))))))))))))))))))))))))))))))))))))))))))))))))</f>
        <v>#REF!</v>
      </c>
      <c r="K24" s="4" t="e">
        <f t="shared" si="4"/>
        <v>#REF!</v>
      </c>
      <c r="L24" s="4" t="e">
        <f t="shared" si="4"/>
        <v>#REF!</v>
      </c>
      <c r="M24" s="4" t="e">
        <f t="shared" si="4"/>
        <v>#REF!</v>
      </c>
      <c r="N24" s="4" t="e">
        <f t="shared" si="4"/>
        <v>#REF!</v>
      </c>
      <c r="O24" s="4" t="e">
        <f t="shared" si="4"/>
        <v>#REF!</v>
      </c>
      <c r="P24" s="4" t="e">
        <f t="shared" si="4"/>
        <v>#REF!</v>
      </c>
      <c r="Q24" s="4" t="e">
        <f t="shared" si="4"/>
        <v>#REF!</v>
      </c>
    </row>
    <row r="25" spans="1:17" x14ac:dyDescent="0.3">
      <c r="I25" s="4" t="e">
        <f>IF($H$20-I20=-96,4,IF($H$20-I20=97,3,IF($H$20-I20=-97,3,IF($H$20-I20=98,2,IF($H$20-I20=-98,2,IF($H$20-I20=99,1,IF($H$20-I20=-99,1,IF($H$20-I20=100,0,IF($H$20-I20=-100,0,0)))))))))</f>
        <v>#REF!</v>
      </c>
      <c r="J25" s="4" t="e">
        <f t="shared" ref="J25:Q25" si="5">IF($H$20-J20=-96,4,IF($H$20-J20=97,3,IF($H$20-J20=-97,3,IF($H$20-J20=98,2,IF($H$20-J20=-98,2,IF($H$20-J20=99,1,IF($H$20-J20=-99,1,IF($H$20-J20=100,0,IF($H$20-J20=-100,0,0)))))))))</f>
        <v>#REF!</v>
      </c>
      <c r="K25" s="4" t="e">
        <f t="shared" si="5"/>
        <v>#REF!</v>
      </c>
      <c r="L25" s="4" t="e">
        <f t="shared" si="5"/>
        <v>#REF!</v>
      </c>
      <c r="M25" s="4" t="e">
        <f t="shared" si="5"/>
        <v>#REF!</v>
      </c>
      <c r="N25" s="4" t="e">
        <f t="shared" si="5"/>
        <v>#REF!</v>
      </c>
      <c r="O25" s="4" t="e">
        <f t="shared" si="5"/>
        <v>#REF!</v>
      </c>
      <c r="P25" s="4" t="e">
        <f t="shared" si="5"/>
        <v>#REF!</v>
      </c>
      <c r="Q25" s="4" t="e">
        <f t="shared" si="5"/>
        <v>#REF!</v>
      </c>
    </row>
    <row r="26" spans="1:17" ht="24" customHeight="1" x14ac:dyDescent="0.3">
      <c r="D26" s="160"/>
      <c r="E26" s="160"/>
      <c r="F26" s="160"/>
      <c r="G26" s="160"/>
    </row>
    <row r="27" spans="1:17" ht="24" customHeight="1" x14ac:dyDescent="0.3">
      <c r="D27" s="160"/>
      <c r="E27" s="160"/>
      <c r="F27" s="160"/>
      <c r="G27" s="160"/>
    </row>
    <row r="28" spans="1:17" ht="24" customHeight="1" x14ac:dyDescent="0.3">
      <c r="D28" s="160"/>
      <c r="E28" s="160"/>
      <c r="F28" s="160"/>
      <c r="G28" s="160"/>
    </row>
    <row r="49" spans="9:9" x14ac:dyDescent="0.3">
      <c r="I49" s="3">
        <v>1</v>
      </c>
    </row>
  </sheetData>
  <sheetProtection algorithmName="SHA-512" hashValue="sl3hmfUsP/0AEGdKnHzML/fRKVmeGjpDx1lfIugg/uB+UULGPZmfjV4NtTq5UJrqjztYnMlJzv/6FsEOA+H16g==" saltValue="0vDxLtjmVc4hjWW1RQJDzw==" spinCount="100000" sheet="1" objects="1" scenarios="1"/>
  <mergeCells count="66">
    <mergeCell ref="E20:G20"/>
    <mergeCell ref="E21:H21"/>
    <mergeCell ref="D26:G26"/>
    <mergeCell ref="D27:G27"/>
    <mergeCell ref="D28:G28"/>
    <mergeCell ref="H16:H17"/>
    <mergeCell ref="B18:B19"/>
    <mergeCell ref="C18:C19"/>
    <mergeCell ref="D18:D19"/>
    <mergeCell ref="E18:E19"/>
    <mergeCell ref="F18:F19"/>
    <mergeCell ref="G18:G19"/>
    <mergeCell ref="H18:H19"/>
    <mergeCell ref="B16:B17"/>
    <mergeCell ref="C16:C17"/>
    <mergeCell ref="D16:D17"/>
    <mergeCell ref="E16:E17"/>
    <mergeCell ref="F16:F17"/>
    <mergeCell ref="G16:G17"/>
    <mergeCell ref="G8:G9"/>
    <mergeCell ref="H12:H13"/>
    <mergeCell ref="B14:B15"/>
    <mergeCell ref="C14:C15"/>
    <mergeCell ref="D14:D15"/>
    <mergeCell ref="E14:E15"/>
    <mergeCell ref="F14:F15"/>
    <mergeCell ref="G14:G15"/>
    <mergeCell ref="H14:H15"/>
    <mergeCell ref="B12:B13"/>
    <mergeCell ref="C12:C13"/>
    <mergeCell ref="D12:D13"/>
    <mergeCell ref="E12:E13"/>
    <mergeCell ref="F12:F13"/>
    <mergeCell ref="G12:G13"/>
    <mergeCell ref="G6:G7"/>
    <mergeCell ref="H6:H7"/>
    <mergeCell ref="A12:A19"/>
    <mergeCell ref="H8:H9"/>
    <mergeCell ref="B10:B11"/>
    <mergeCell ref="C10:C11"/>
    <mergeCell ref="D10:D11"/>
    <mergeCell ref="E10:E11"/>
    <mergeCell ref="F10:F11"/>
    <mergeCell ref="G10:G11"/>
    <mergeCell ref="H10:H11"/>
    <mergeCell ref="B8:B9"/>
    <mergeCell ref="C8:C9"/>
    <mergeCell ref="D8:D9"/>
    <mergeCell ref="E8:E9"/>
    <mergeCell ref="F8:F9"/>
    <mergeCell ref="A1:H1"/>
    <mergeCell ref="F2:H2"/>
    <mergeCell ref="F3:G3"/>
    <mergeCell ref="A4:A11"/>
    <mergeCell ref="B4:B5"/>
    <mergeCell ref="C4:C5"/>
    <mergeCell ref="D4:D5"/>
    <mergeCell ref="E4:E5"/>
    <mergeCell ref="F4:F5"/>
    <mergeCell ref="G4:G5"/>
    <mergeCell ref="H4:H5"/>
    <mergeCell ref="B6:B7"/>
    <mergeCell ref="C6:C7"/>
    <mergeCell ref="D6:D7"/>
    <mergeCell ref="E6:E7"/>
    <mergeCell ref="F6:F7"/>
  </mergeCells>
  <dataValidations count="2">
    <dataValidation type="list" allowBlank="1" showInputMessage="1" showErrorMessage="1" sqref="I6:Q6 I8:Q8 I10:Q10 I12:Q12 I14:Q14 I16:Q16 I18:Q18 I4:Q4" xr:uid="{794EB591-2727-4BCF-9E9E-A16E63499017}">
      <formula1>$X$5:$X$7</formula1>
    </dataValidation>
    <dataValidation type="list" allowBlank="1" showInputMessage="1" showErrorMessage="1" sqref="I5:Q5 I11:Q11 I15:Q15 I17:Q17 I19:Q19 I9:Q9 I7:Q7 I13:Q13" xr:uid="{93E9980D-7471-4C0B-A44D-76A09FE14B18}">
      <formula1>$Y$5:$Y$11</formula1>
    </dataValidation>
  </dataValidations>
  <pageMargins left="0.25" right="0.25"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7295D-530F-4B3A-B7C5-50D9D69CCD7B}">
  <sheetPr>
    <tabColor rgb="FF00B050"/>
  </sheetPr>
  <dimension ref="A1:V41"/>
  <sheetViews>
    <sheetView showGridLines="0" zoomScale="80" zoomScaleNormal="80" workbookViewId="0">
      <pane xSplit="8" ySplit="3" topLeftCell="I4" activePane="bottomRight" state="frozen"/>
      <selection pane="topRight" activeCell="G1" sqref="G1"/>
      <selection pane="bottomLeft" activeCell="A4" sqref="A4"/>
      <selection pane="bottomRight" activeCell="E2" sqref="E2"/>
    </sheetView>
  </sheetViews>
  <sheetFormatPr baseColWidth="10" defaultColWidth="11.44140625" defaultRowHeight="14.4" x14ac:dyDescent="0.3"/>
  <cols>
    <col min="1" max="1" width="21" style="3" customWidth="1"/>
    <col min="2" max="2" width="13.88671875" style="3" customWidth="1"/>
    <col min="3" max="3" width="17.88671875" style="3" bestFit="1" customWidth="1"/>
    <col min="4" max="5" width="17.88671875" style="3" customWidth="1"/>
    <col min="6" max="7" width="6.109375" style="3" customWidth="1"/>
    <col min="8" max="8" width="15.44140625" style="3" customWidth="1"/>
    <col min="9" max="14" width="5.33203125" style="3" customWidth="1"/>
    <col min="15" max="20" width="11.44140625" style="3"/>
    <col min="21" max="22" width="0" style="3" hidden="1" customWidth="1"/>
    <col min="23" max="16384" width="11.44140625" style="3"/>
  </cols>
  <sheetData>
    <row r="1" spans="1:22" ht="37.5" customHeight="1" thickBot="1" x14ac:dyDescent="0.35">
      <c r="A1" s="142" t="s">
        <v>28</v>
      </c>
      <c r="B1" s="142"/>
      <c r="C1" s="142"/>
      <c r="D1" s="142"/>
      <c r="E1" s="142"/>
      <c r="F1" s="142"/>
      <c r="G1" s="142"/>
      <c r="H1" s="142"/>
      <c r="I1" s="44">
        <v>1</v>
      </c>
      <c r="J1" s="34">
        <v>2</v>
      </c>
      <c r="K1" s="34">
        <v>3</v>
      </c>
      <c r="L1" s="34">
        <v>4</v>
      </c>
      <c r="M1" s="37">
        <v>5</v>
      </c>
      <c r="N1" s="37">
        <v>6</v>
      </c>
    </row>
    <row r="2" spans="1:22" ht="132.75" customHeight="1" thickTop="1" x14ac:dyDescent="0.3">
      <c r="A2" s="40"/>
      <c r="B2" s="40"/>
      <c r="C2" s="40"/>
      <c r="D2" s="40"/>
      <c r="E2" s="41"/>
      <c r="F2" s="143"/>
      <c r="G2" s="143"/>
      <c r="H2" s="144"/>
      <c r="I2" s="45"/>
      <c r="J2" s="35"/>
      <c r="K2" s="36"/>
      <c r="L2" s="36"/>
      <c r="M2" s="38"/>
      <c r="N2" s="39"/>
    </row>
    <row r="3" spans="1:22" ht="28.8" x14ac:dyDescent="0.3">
      <c r="A3" s="6" t="s">
        <v>0</v>
      </c>
      <c r="B3" s="6" t="s">
        <v>74</v>
      </c>
      <c r="C3" s="6" t="s">
        <v>79</v>
      </c>
      <c r="D3" s="6" t="s">
        <v>5</v>
      </c>
      <c r="E3" s="6" t="s">
        <v>6</v>
      </c>
      <c r="F3" s="151" t="s">
        <v>75</v>
      </c>
      <c r="G3" s="151"/>
      <c r="H3" s="16" t="s">
        <v>8</v>
      </c>
      <c r="I3" s="20">
        <f>SUM(IF(I4=$H$4,3,0)+IF(I5=$F4+$G4,1,0)+IF(I6=$H$6,3,0)+IF(I7=$F6+$G6,1,0)+IF(I8=$H$8,3,0)+IF(I9=$F8+$G8,1,0)+IF(I10=$H$10,3,0)+IF(I11=$F10+$G10,1,0))</f>
        <v>0</v>
      </c>
      <c r="J3" s="6">
        <f>SUM(IF(J4=$H$4,3,0)+IF(J5=$F4+$G4,1,0)+IF(J6=$H$6,3,0)+IF(J7=$F6+$G6,1,0)+IF(J8=$H$8,3,0)+IF(J9=$F8+$G8,1,0)+IF(J10=$H$10,3,0)+IF(J11=$F10+$G10,1,0))</f>
        <v>0</v>
      </c>
      <c r="K3" s="6">
        <f t="shared" ref="K3:N3" si="0">SUM(IF(K4=$H$4,3,0)+IF(K5=$F4+$G4,1,0)+IF(K6=$H$6,3,0)+IF(K7=$F6+$G6,1,0)+IF(K8=$H$8,3,0)+IF(K9=$F8+$G8,1,0)+IF(K10=$H$10,3,0)+IF(K11=$F10+$G10,1,0))</f>
        <v>0</v>
      </c>
      <c r="L3" s="6">
        <f t="shared" si="0"/>
        <v>0</v>
      </c>
      <c r="M3" s="6">
        <f t="shared" si="0"/>
        <v>0</v>
      </c>
      <c r="N3" s="21">
        <f t="shared" si="0"/>
        <v>0</v>
      </c>
    </row>
    <row r="4" spans="1:22" ht="12.75" customHeight="1" x14ac:dyDescent="0.3">
      <c r="A4" s="120" t="s">
        <v>77</v>
      </c>
      <c r="B4" s="117">
        <v>46212</v>
      </c>
      <c r="C4" s="149" t="s">
        <v>80</v>
      </c>
      <c r="D4" s="149" t="s">
        <v>9</v>
      </c>
      <c r="E4" s="149" t="s">
        <v>9</v>
      </c>
      <c r="F4" s="130"/>
      <c r="G4" s="130"/>
      <c r="H4" s="134" t="str">
        <f>IF(F4="","-",IF(F4&gt;G4,"L",IF(F4=G4,"E",IF(F4&lt;G4,"V"))))</f>
        <v>-</v>
      </c>
      <c r="I4" s="46"/>
      <c r="J4" s="17"/>
      <c r="K4" s="17"/>
      <c r="L4" s="17"/>
      <c r="M4" s="17"/>
      <c r="N4" s="22"/>
    </row>
    <row r="5" spans="1:22" ht="12.75" customHeight="1" x14ac:dyDescent="0.3">
      <c r="A5" s="121"/>
      <c r="B5" s="106"/>
      <c r="C5" s="150"/>
      <c r="D5" s="150"/>
      <c r="E5" s="150"/>
      <c r="F5" s="98"/>
      <c r="G5" s="98"/>
      <c r="H5" s="135"/>
      <c r="I5" s="23" t="s">
        <v>9</v>
      </c>
      <c r="J5" s="18" t="s">
        <v>9</v>
      </c>
      <c r="K5" s="18" t="s">
        <v>9</v>
      </c>
      <c r="L5" s="18" t="s">
        <v>9</v>
      </c>
      <c r="M5" s="18" t="s">
        <v>9</v>
      </c>
      <c r="N5" s="24" t="s">
        <v>9</v>
      </c>
      <c r="U5" s="47" t="s">
        <v>7</v>
      </c>
      <c r="V5" s="48" t="s">
        <v>9</v>
      </c>
    </row>
    <row r="6" spans="1:22" ht="12.75" customHeight="1" x14ac:dyDescent="0.3">
      <c r="A6" s="121"/>
      <c r="B6" s="117">
        <v>46213</v>
      </c>
      <c r="C6" s="149" t="s">
        <v>82</v>
      </c>
      <c r="D6" s="149" t="s">
        <v>9</v>
      </c>
      <c r="E6" s="149" t="s">
        <v>9</v>
      </c>
      <c r="F6" s="130"/>
      <c r="G6" s="130"/>
      <c r="H6" s="134" t="str">
        <f t="shared" ref="H6:H10" si="1">IF(F6="","-",IF(F6&gt;G6,"L",IF(F6=G6,"E",IF(F6&lt;G6,"V"))))</f>
        <v>-</v>
      </c>
      <c r="I6" s="26"/>
      <c r="J6" s="13"/>
      <c r="K6" s="13"/>
      <c r="L6" s="13"/>
      <c r="M6" s="13"/>
      <c r="N6" s="25"/>
      <c r="U6" s="49" t="s">
        <v>16</v>
      </c>
      <c r="V6" s="50">
        <v>0</v>
      </c>
    </row>
    <row r="7" spans="1:22" ht="12.75" customHeight="1" x14ac:dyDescent="0.3">
      <c r="A7" s="121"/>
      <c r="B7" s="106"/>
      <c r="C7" s="150"/>
      <c r="D7" s="150"/>
      <c r="E7" s="150"/>
      <c r="F7" s="98"/>
      <c r="G7" s="98"/>
      <c r="H7" s="135"/>
      <c r="I7" s="26" t="s">
        <v>9</v>
      </c>
      <c r="J7" s="13" t="s">
        <v>9</v>
      </c>
      <c r="K7" s="13" t="s">
        <v>9</v>
      </c>
      <c r="L7" s="13" t="s">
        <v>9</v>
      </c>
      <c r="M7" s="13" t="s">
        <v>9</v>
      </c>
      <c r="N7" s="25" t="s">
        <v>9</v>
      </c>
      <c r="U7" s="49" t="s">
        <v>15</v>
      </c>
      <c r="V7" s="50">
        <v>1</v>
      </c>
    </row>
    <row r="8" spans="1:22" ht="12.75" customHeight="1" x14ac:dyDescent="0.3">
      <c r="A8" s="120" t="s">
        <v>78</v>
      </c>
      <c r="B8" s="116">
        <v>46214</v>
      </c>
      <c r="C8" s="154" t="s">
        <v>91</v>
      </c>
      <c r="D8" s="154" t="s">
        <v>9</v>
      </c>
      <c r="E8" s="154" t="s">
        <v>9</v>
      </c>
      <c r="F8" s="125"/>
      <c r="G8" s="125"/>
      <c r="H8" s="123" t="str">
        <f t="shared" si="1"/>
        <v>-</v>
      </c>
      <c r="I8" s="27"/>
      <c r="J8" s="19"/>
      <c r="K8" s="19"/>
      <c r="L8" s="19"/>
      <c r="M8" s="19"/>
      <c r="N8" s="28"/>
    </row>
    <row r="9" spans="1:22" ht="12.75" customHeight="1" x14ac:dyDescent="0.3">
      <c r="A9" s="121"/>
      <c r="B9" s="108"/>
      <c r="C9" s="153"/>
      <c r="D9" s="153"/>
      <c r="E9" s="153"/>
      <c r="F9" s="100"/>
      <c r="G9" s="100"/>
      <c r="H9" s="124"/>
      <c r="I9" s="27" t="s">
        <v>9</v>
      </c>
      <c r="J9" s="19" t="s">
        <v>9</v>
      </c>
      <c r="K9" s="19" t="s">
        <v>9</v>
      </c>
      <c r="L9" s="19" t="s">
        <v>9</v>
      </c>
      <c r="M9" s="19" t="s">
        <v>9</v>
      </c>
      <c r="N9" s="28" t="s">
        <v>9</v>
      </c>
    </row>
    <row r="10" spans="1:22" ht="12.75" customHeight="1" x14ac:dyDescent="0.3">
      <c r="A10" s="121"/>
      <c r="B10" s="116">
        <v>46214</v>
      </c>
      <c r="C10" s="154" t="s">
        <v>93</v>
      </c>
      <c r="D10" s="154" t="s">
        <v>9</v>
      </c>
      <c r="E10" s="157" t="s">
        <v>9</v>
      </c>
      <c r="F10" s="125"/>
      <c r="G10" s="125"/>
      <c r="H10" s="123" t="str">
        <f t="shared" si="1"/>
        <v>-</v>
      </c>
      <c r="I10" s="26"/>
      <c r="J10" s="13"/>
      <c r="K10" s="13"/>
      <c r="L10" s="13"/>
      <c r="M10" s="13"/>
      <c r="N10" s="25"/>
    </row>
    <row r="11" spans="1:22" ht="12.75" customHeight="1" x14ac:dyDescent="0.3">
      <c r="A11" s="122"/>
      <c r="B11" s="108"/>
      <c r="C11" s="153"/>
      <c r="D11" s="153"/>
      <c r="E11" s="158"/>
      <c r="F11" s="100"/>
      <c r="G11" s="100"/>
      <c r="H11" s="124"/>
      <c r="I11" s="26" t="s">
        <v>9</v>
      </c>
      <c r="J11" s="13" t="s">
        <v>9</v>
      </c>
      <c r="K11" s="13" t="s">
        <v>9</v>
      </c>
      <c r="L11" s="13" t="s">
        <v>9</v>
      </c>
      <c r="M11" s="13" t="s">
        <v>9</v>
      </c>
      <c r="N11" s="25" t="s">
        <v>9</v>
      </c>
    </row>
    <row r="12" spans="1:22" ht="12.75" customHeight="1" x14ac:dyDescent="0.3">
      <c r="E12" s="159" t="s">
        <v>10</v>
      </c>
      <c r="F12" s="159"/>
      <c r="G12" s="159"/>
      <c r="H12" s="5">
        <f>SUM(F4:G11)</f>
        <v>0</v>
      </c>
      <c r="I12" s="51">
        <f>SUM(I11,I9,I7,I5)</f>
        <v>0</v>
      </c>
      <c r="J12" s="15">
        <f>SUM(J11,J9,J7,J5)</f>
        <v>0</v>
      </c>
      <c r="K12" s="15">
        <f t="shared" ref="K12:N12" si="2">SUM(K11,K9,K7,K5)</f>
        <v>0</v>
      </c>
      <c r="L12" s="15">
        <f t="shared" si="2"/>
        <v>0</v>
      </c>
      <c r="M12" s="15">
        <f t="shared" si="2"/>
        <v>0</v>
      </c>
      <c r="N12" s="30">
        <f t="shared" si="2"/>
        <v>0</v>
      </c>
    </row>
    <row r="13" spans="1:22" ht="33" customHeight="1" thickBot="1" x14ac:dyDescent="0.35">
      <c r="E13" s="137" t="s">
        <v>14</v>
      </c>
      <c r="F13" s="137"/>
      <c r="G13" s="137"/>
      <c r="H13" s="137"/>
      <c r="I13" s="31">
        <f t="shared" ref="I13:N13" si="3">SUM(I14:I17)</f>
        <v>100</v>
      </c>
      <c r="J13" s="32">
        <f t="shared" si="3"/>
        <v>100</v>
      </c>
      <c r="K13" s="32">
        <f t="shared" si="3"/>
        <v>100</v>
      </c>
      <c r="L13" s="32">
        <f t="shared" si="3"/>
        <v>100</v>
      </c>
      <c r="M13" s="32">
        <f t="shared" si="3"/>
        <v>100</v>
      </c>
      <c r="N13" s="33">
        <f t="shared" si="3"/>
        <v>100</v>
      </c>
    </row>
    <row r="14" spans="1:22" ht="15" thickTop="1" x14ac:dyDescent="0.3">
      <c r="I14" s="4">
        <f>IF(I12=$H$12,100,IF($H$12-I12=1,99,IF($H$12-I12=-1,99,IF($H$12-I12=2,98,IF($H$12-I12=-2,98,IF($H$12-I12=3,97,IF($H$12-I12=-3,97,IF($H$12-I12=4,96,IF($H$12-I12=-4,96,IF($H$12-I12=5,95,IF($H$12-I12=-5,95,IF($H$12-I12=6,94,IF($H$12-I12=-6,94,IF($H$12-I12=7,93,IF($H$12-I12=-7,93,IF($H$12-I12=8,92,IF($H$12-I12=-8,92,IF($H$12-I12=9,91,IF($H$12-I12=-9,91,IF($H$12-I12=10,90,IF($H$12-I12=-10,90,IF($H$12-I12=11,89,IF($H$12-I12=-11,89,IF($H$12-I12=12,88,IF($H$12-I12=-12,88,IF($H$12-I12=13,87,IF($H$12-I12=-13,87,IF($H$12-I12=14,86,IF($H$12-I12=-14,86,IF($H$12-I12=15,85,IF($H$12-I12=-15,85,IF($H$12-I12=16,84,IF($H$12-I12=-16,84,IF($H$12-I12=17,83,IF($H$12-I12=-17,83,IF($H$12-I12=18,82,IF($H$12-I12=-18,82,IF($H$12-I12=19,81,IF($H$12-I12=-19,81,IF($H$12-I12=20,80,IF($H$12-I12=-20,80,IF($H$12-I12=21,79,IF($H$12-I12=-21,79,IF($H$12-I12=22,78,IF($H$12-I12=-22,78,IF($H$12-I12=23,77,IF($H$12-I12=-23,77,IF($H$12-I12=24,76,IF($H$12-I12=-24,76,IF($H$12-I12=25,75,IF($H$12-I12=-25,75,IF($H$12-I12=26,74,IF($H$12-I12=-26,74,IF($H$12-I12=27,73,IF($H$12-I12=-27,73,IF($H$12-I12=28,72,IF($H$12-I12=-28,72,IF($H$12-I12=29,71,IF($H$12-I12=-29,71,IF($H$12-I12=30,70,IF($H$12-I12=-30,70,IF($H$12-I12=31,69,IF($H$12-I12=-31,69,IF($H$12-I12=32,68,IF($H$12-I12=-32,68,0)))))))))))))))))))))))))))))))))))))))))))))))))))))))))))))))))</f>
        <v>100</v>
      </c>
      <c r="J14" s="4">
        <f t="shared" ref="J14:N14" si="4">IF(J12=$H$12,100,IF($H$12-J12=1,99,IF($H$12-J12=-1,99,IF($H$12-J12=2,98,IF($H$12-J12=-2,98,IF($H$12-J12=3,97,IF($H$12-J12=-3,97,IF($H$12-J12=4,96,IF($H$12-J12=-4,96,IF($H$12-J12=5,95,IF($H$12-J12=-5,95,IF($H$12-J12=6,94,IF($H$12-J12=-6,94,IF($H$12-J12=7,93,IF($H$12-J12=-7,93,IF($H$12-J12=8,92,IF($H$12-J12=-8,92,IF($H$12-J12=9,91,IF($H$12-J12=-9,91,IF($H$12-J12=10,90,IF($H$12-J12=-10,90,IF($H$12-J12=11,89,IF($H$12-J12=-11,89,IF($H$12-J12=12,88,IF($H$12-J12=-12,88,IF($H$12-J12=13,87,IF($H$12-J12=-13,87,IF($H$12-J12=14,86,IF($H$12-J12=-14,86,IF($H$12-J12=15,85,IF($H$12-J12=-15,85,IF($H$12-J12=16,84,IF($H$12-J12=-16,84,IF($H$12-J12=17,83,IF($H$12-J12=-17,83,IF($H$12-J12=18,82,IF($H$12-J12=-18,82,IF($H$12-J12=19,81,IF($H$12-J12=-19,81,IF($H$12-J12=20,80,IF($H$12-J12=-20,80,IF($H$12-J12=21,79,IF($H$12-J12=-21,79,IF($H$12-J12=22,78,IF($H$12-J12=-22,78,IF($H$12-J12=23,77,IF($H$12-J12=-23,77,IF($H$12-J12=24,76,IF($H$12-J12=-24,76,IF($H$12-J12=25,75,IF($H$12-J12=-25,75,IF($H$12-J12=26,74,IF($H$12-J12=-26,74,IF($H$12-J12=27,73,IF($H$12-J12=-27,73,IF($H$12-J12=28,72,IF($H$12-J12=-28,72,IF($H$12-J12=29,71,IF($H$12-J12=-29,71,IF($H$12-J12=30,70,IF($H$12-J12=-30,70,IF($H$12-J12=31,69,IF($H$12-J12=-31,69,IF($H$12-J12=32,68,IF($H$12-J12=-32,68,0)))))))))))))))))))))))))))))))))))))))))))))))))))))))))))))))))</f>
        <v>100</v>
      </c>
      <c r="K14" s="4">
        <f t="shared" si="4"/>
        <v>100</v>
      </c>
      <c r="L14" s="4">
        <f t="shared" si="4"/>
        <v>100</v>
      </c>
      <c r="M14" s="4">
        <f t="shared" si="4"/>
        <v>100</v>
      </c>
      <c r="N14" s="4">
        <f t="shared" si="4"/>
        <v>100</v>
      </c>
    </row>
    <row r="15" spans="1:22" x14ac:dyDescent="0.3">
      <c r="I15" s="4">
        <f>IF($H$12-I12=33,67,IF($H$12-I12=-33,67,IF($H$12-I12=34,66,IF($H$12-I12=-34,66,IF($H$12-I12=35,65,IF($H$12-I12=-35,65,IF($H$12-I12=36,64,IF($H$12-I12=-36,64,IF($H$12-I12=37,63,IF($H$12-I12=-37,63,IF($H$12-I12=38,62,IF($H$12-I12=-38,62,IF($H$12-I12=39,61,IF($H$12-I12=-39,61,IF($H$12-I12=40,60,IF($H$12-I12=-40,60,IF($H$12-I12=41,59,IF($H$12-I12=-41,59,IF($H$12-I12=42,58,IF($H$12-I12=-42,58,IF($H$12-I12=43,57,IF($H$12-I12=-43,57,IF($H$12-I12=44,56,IF($H$12-I12=-44,56,IF($H$12-I12=45,55,IF($H$12-I12=-45,55,IF($H$12-I12=46,54,IF($H$12-I12=-46,54,IF($H$12-I12=47,53,IF($H$12-I12=-47,53,IF($H$12-I12=48,52,IF($H$12-I12=-48,52,IF($H$12-I12=49,51,IF($H$12-I12=-49,51,IF($H$12-I12=50,50,IF($H$12-I12=-50,50,IF($H$12-I12=51,49,IF($H$12-I12=-51,49,IF($H$12-I12=52,48,IF($H$12-I12=-52,48,IF($H$12-I12=53,47,IF($H$12-I12=-53,47,IF($H$12-I12=54,46,IF($H$12-I12=-54,46,IF($H$12-I12=55,45,IF($H$12-I12=-55,45,IF($H$12-I12=56,44,IF($H$12-I12=-56,44,IF($H$12-I12=57,43,IF($H$12-I12=-57,43,IF($H$12-I12=58,42,IF($H$12-I12=-58,42,IF($H$12-I12=59,41,IF($H$12-I12=-59,41,IF($H$12-I12=60,40,IF($H$12-I12=-60,40,IF($H$12-I12=61,39,IF($H$12-I12=-61,39,IF($H$12-I12=62,38,IF($H$12-I12=-62,38,IF($H$12-I12=63,37,IF($H$12-I12=-63,37,IF($H$12-I12=64,36,IF($H$12-I12=-64,36,IF($H$12-I12=65,35,0)))))))))))))))))))))))))))))))))))))))))))))))))))))))))))))))))</f>
        <v>0</v>
      </c>
      <c r="J15" s="4">
        <f t="shared" ref="J15:N15" si="5">IF($H$12-J12=33,67,IF($H$12-J12=-33,67,IF($H$12-J12=34,66,IF($H$12-J12=-34,66,IF($H$12-J12=35,65,IF($H$12-J12=-35,65,IF($H$12-J12=36,64,IF($H$12-J12=-36,64,IF($H$12-J12=37,63,IF($H$12-J12=-37,63,IF($H$12-J12=38,62,IF($H$12-J12=-38,62,IF($H$12-J12=39,61,IF($H$12-J12=-39,61,IF($H$12-J12=40,60,IF($H$12-J12=-40,60,IF($H$12-J12=41,59,IF($H$12-J12=-41,59,IF($H$12-J12=42,58,IF($H$12-J12=-42,58,IF($H$12-J12=43,57,IF($H$12-J12=-43,57,IF($H$12-J12=44,56,IF($H$12-J12=-44,56,IF($H$12-J12=45,55,IF($H$12-J12=-45,55,IF($H$12-J12=46,54,IF($H$12-J12=-46,54,IF($H$12-J12=47,53,IF($H$12-J12=-47,53,IF($H$12-J12=48,52,IF($H$12-J12=-48,52,IF($H$12-J12=49,51,IF($H$12-J12=-49,51,IF($H$12-J12=50,50,IF($H$12-J12=-50,50,IF($H$12-J12=51,49,IF($H$12-J12=-51,49,IF($H$12-J12=52,48,IF($H$12-J12=-52,48,IF($H$12-J12=53,47,IF($H$12-J12=-53,47,IF($H$12-J12=54,46,IF($H$12-J12=-54,46,IF($H$12-J12=55,45,IF($H$12-J12=-55,45,IF($H$12-J12=56,44,IF($H$12-J12=-56,44,IF($H$12-J12=57,43,IF($H$12-J12=-57,43,IF($H$12-J12=58,42,IF($H$12-J12=-58,42,IF($H$12-J12=59,41,IF($H$12-J12=-59,41,IF($H$12-J12=60,40,IF($H$12-J12=-60,40,IF($H$12-J12=61,39,IF($H$12-J12=-61,39,IF($H$12-J12=62,38,IF($H$12-J12=-62,38,IF($H$12-J12=63,37,IF($H$12-J12=-63,37,IF($H$12-J12=64,36,IF($H$12-J12=-64,36,IF($H$12-J12=65,35,0)))))))))))))))))))))))))))))))))))))))))))))))))))))))))))))))))</f>
        <v>0</v>
      </c>
      <c r="K15" s="4">
        <f t="shared" si="5"/>
        <v>0</v>
      </c>
      <c r="L15" s="4">
        <f t="shared" si="5"/>
        <v>0</v>
      </c>
      <c r="M15" s="4">
        <f t="shared" si="5"/>
        <v>0</v>
      </c>
      <c r="N15" s="4">
        <f t="shared" si="5"/>
        <v>0</v>
      </c>
    </row>
    <row r="16" spans="1:22" x14ac:dyDescent="0.3">
      <c r="I16" s="4">
        <f>IF($H$12-I12=-65,35,IF($H$12-I12=66,34,IF($H$12-I12=-66,34,IF($H$12-I12=67,33,IF($H$12-I12=-67,33,IF($H$12-I12=68,32,IF($H$12-I12=-68,32,IF($H$12-I12=69,31,IF($H$12-I12=-69,31,IF($H$12-I12=70,30,IF($H$12-I12=-70,30,IF($H$12-I12=71,29,IF($H$12-I12=-71,29,IF($H$12-I12=72,28,IF($H$12-I12=-72,28,IF($H$12-I12=73,27,IF($H$12-I12=-73,27,IF($H$12-I12=74,26,IF($H$12-I12=-74,26,IF($H$12-I12=75,25,IF($H$12-I12=-75,25,IF($H$12-I12=76,24,IF($H$12-I12=-76,24,IF($H$12-I12=77,23,IF($H$12-I12=-77,23,IF($H$12-I12=78,22,IF($H$12-I12=-78,22,IF($H$12-I12=79,21,IF($H$12-I12=-79,21,IF($H$12-I12=80,20,IF($H$12-I12=-80,20,IF($H$12-I12=81,19,IF($H$12-I12=-81,19,IF($H$12-I12=82,18,IF($H$12-I12=-82,18,IF($H$12-I12=83,17,IF($H$12-I12=-83,17,IF($H$12-I12=84,16,IF($H$12-I12=-84,16,IF($H$12-I12=85,15,IF($H$12-I12=-85,15,IF($H$12-I12=86,14,IF($H$12-I12=-86,14,IF($H$12-I12=87,13,IF($H$12-I12=-87,13,IF($H$12-I12=88,12,IF($H$12-I12=-88,12,IF($H$12-I12=89,11,IF($H$12-I12=-89,11,IF($H$12-I12=90,10,IF($H$12-I12=-90,10,IF($H$12-I12=91,9,IF($H$12-I12=-91,9,IF($H$12-I12=92,8,IF($H$12-I12=-92,8,IF($H$12-I12=93,7,IF($H$12-I12=-93,7,IF($H$12-I12=94,6,IF($H$12-I12=-94,6,IF($H$12-I12=95,5,IF($H$12-I12=-95,5,IF($H$12-I12=96,4,0))))))))))))))))))))))))))))))))))))))))))))))))))))))))))))))</f>
        <v>0</v>
      </c>
      <c r="J16" s="4">
        <f t="shared" ref="J16:N16" si="6">IF($H$12-J12=-65,35,IF($H$12-J12=66,34,IF($H$12-J12=-66,34,IF($H$12-J12=67,33,IF($H$12-J12=-67,33,IF($H$12-J12=68,32,IF($H$12-J12=-68,32,IF($H$12-J12=69,31,IF($H$12-J12=-69,31,IF($H$12-J12=70,30,IF($H$12-J12=-70,30,IF($H$12-J12=71,29,IF($H$12-J12=-71,29,IF($H$12-J12=72,28,IF($H$12-J12=-72,28,IF($H$12-J12=73,27,IF($H$12-J12=-73,27,IF($H$12-J12=74,26,IF($H$12-J12=-74,26,IF($H$12-J12=75,25,IF($H$12-J12=-75,25,IF($H$12-J12=76,24,IF($H$12-J12=-76,24,IF($H$12-J12=77,23,IF($H$12-J12=-77,23,IF($H$12-J12=78,22,IF($H$12-J12=-78,22,IF($H$12-J12=79,21,IF($H$12-J12=-79,21,IF($H$12-J12=80,20,IF($H$12-J12=-80,20,IF($H$12-J12=81,19,IF($H$12-J12=-81,19,IF($H$12-J12=82,18,IF($H$12-J12=-82,18,IF($H$12-J12=83,17,IF($H$12-J12=-83,17,IF($H$12-J12=84,16,IF($H$12-J12=-84,16,IF($H$12-J12=85,15,IF($H$12-J12=-85,15,IF($H$12-J12=86,14,IF($H$12-J12=-86,14,IF($H$12-J12=87,13,IF($H$12-J12=-87,13,IF($H$12-J12=88,12,IF($H$12-J12=-88,12,IF($H$12-J12=89,11,IF($H$12-J12=-89,11,IF($H$12-J12=90,10,IF($H$12-J12=-90,10,IF($H$12-J12=91,9,IF($H$12-J12=-91,9,IF($H$12-J12=92,8,IF($H$12-J12=-92,8,IF($H$12-J12=93,7,IF($H$12-J12=-93,7,IF($H$12-J12=94,6,IF($H$12-J12=-94,6,IF($H$12-J12=95,5,IF($H$12-J12=-95,5,IF($H$12-J12=96,4,0))))))))))))))))))))))))))))))))))))))))))))))))))))))))))))))</f>
        <v>0</v>
      </c>
      <c r="K16" s="4">
        <f t="shared" si="6"/>
        <v>0</v>
      </c>
      <c r="L16" s="4">
        <f t="shared" si="6"/>
        <v>0</v>
      </c>
      <c r="M16" s="4">
        <f t="shared" si="6"/>
        <v>0</v>
      </c>
      <c r="N16" s="4">
        <f t="shared" si="6"/>
        <v>0</v>
      </c>
    </row>
    <row r="17" spans="4:14" x14ac:dyDescent="0.3">
      <c r="I17" s="4">
        <f>IF($H$12-I12=-96,4,IF($H$12-I12=97,3,IF($H$12-I12=-97,3,IF($H$12-I12=98,2,IF($H$12-I12=-98,2,IF($H$12-I12=99,1,IF($H$12-I12=-99,1,IF($H$12-I12=100,0,IF($H$12-I12=-100,0,0)))))))))</f>
        <v>0</v>
      </c>
      <c r="J17" s="4">
        <f t="shared" ref="J17:N17" si="7">IF($H$12-J12=-96,4,IF($H$12-J12=97,3,IF($H$12-J12=-97,3,IF($H$12-J12=98,2,IF($H$12-J12=-98,2,IF($H$12-J12=99,1,IF($H$12-J12=-99,1,IF($H$12-J12=100,0,IF($H$12-J12=-100,0,0)))))))))</f>
        <v>0</v>
      </c>
      <c r="K17" s="4">
        <f t="shared" si="7"/>
        <v>0</v>
      </c>
      <c r="L17" s="4">
        <f t="shared" si="7"/>
        <v>0</v>
      </c>
      <c r="M17" s="4">
        <f t="shared" si="7"/>
        <v>0</v>
      </c>
      <c r="N17" s="4">
        <f t="shared" si="7"/>
        <v>0</v>
      </c>
    </row>
    <row r="18" spans="4:14" ht="24" customHeight="1" x14ac:dyDescent="0.3">
      <c r="D18" s="160"/>
      <c r="E18" s="160"/>
      <c r="F18" s="160"/>
      <c r="G18" s="160"/>
    </row>
    <row r="19" spans="4:14" ht="24" customHeight="1" x14ac:dyDescent="0.3">
      <c r="D19" s="160"/>
      <c r="E19" s="160"/>
      <c r="F19" s="160"/>
      <c r="G19" s="160"/>
    </row>
    <row r="20" spans="4:14" ht="24" customHeight="1" x14ac:dyDescent="0.3">
      <c r="D20" s="160"/>
      <c r="E20" s="160"/>
      <c r="F20" s="160"/>
      <c r="G20" s="160"/>
    </row>
    <row r="41" spans="9:9" x14ac:dyDescent="0.3">
      <c r="I41" s="3">
        <v>1</v>
      </c>
    </row>
  </sheetData>
  <sheetProtection algorithmName="SHA-512" hashValue="jDy+TaaBus/YLoP0DGJXAnoaRJcFT+Oo6OOpILcNCb6W3EZSLBOg/eSnJOd8WYIYjy08krdRsxEJosK80+KEiw==" saltValue="Mo2geWJ/Nb+toLk/aMnOlQ==" spinCount="100000" sheet="1" objects="1" scenarios="1"/>
  <mergeCells count="38">
    <mergeCell ref="D20:G20"/>
    <mergeCell ref="F8:F9"/>
    <mergeCell ref="E12:G12"/>
    <mergeCell ref="E13:H13"/>
    <mergeCell ref="D18:G18"/>
    <mergeCell ref="D19:G19"/>
    <mergeCell ref="G6:G7"/>
    <mergeCell ref="H6:H7"/>
    <mergeCell ref="A8:A11"/>
    <mergeCell ref="B8:B9"/>
    <mergeCell ref="C8:C9"/>
    <mergeCell ref="D8:D9"/>
    <mergeCell ref="E8:E9"/>
    <mergeCell ref="G8:G9"/>
    <mergeCell ref="H8:H9"/>
    <mergeCell ref="B10:B11"/>
    <mergeCell ref="C10:C11"/>
    <mergeCell ref="D10:D11"/>
    <mergeCell ref="E10:E11"/>
    <mergeCell ref="F10:F11"/>
    <mergeCell ref="G10:G11"/>
    <mergeCell ref="H10:H11"/>
    <mergeCell ref="A1:H1"/>
    <mergeCell ref="F2:H2"/>
    <mergeCell ref="F3:G3"/>
    <mergeCell ref="A4:A7"/>
    <mergeCell ref="B4:B5"/>
    <mergeCell ref="C4:C5"/>
    <mergeCell ref="D4:D5"/>
    <mergeCell ref="E4:E5"/>
    <mergeCell ref="F4:F5"/>
    <mergeCell ref="G4:G5"/>
    <mergeCell ref="H4:H5"/>
    <mergeCell ref="B6:B7"/>
    <mergeCell ref="C6:C7"/>
    <mergeCell ref="D6:D7"/>
    <mergeCell ref="E6:E7"/>
    <mergeCell ref="F6:F7"/>
  </mergeCells>
  <dataValidations count="2">
    <dataValidation type="list" allowBlank="1" showInputMessage="1" showErrorMessage="1" sqref="I5:N5 I11:N11 I7:N7 I9:N9" xr:uid="{94B81B5B-5F71-4D3E-9072-59EC7004E880}">
      <formula1>$V$5:$V$7</formula1>
    </dataValidation>
    <dataValidation type="list" allowBlank="1" showInputMessage="1" showErrorMessage="1" sqref="I10:N10 I8:N8 I6:N6 I4:N4" xr:uid="{CBDB9ADA-2FFB-442B-80D0-10DF3AFB2F7A}">
      <formula1>$U$5:$U$7</formula1>
    </dataValidation>
  </dataValidations>
  <pageMargins left="0.25" right="0.25"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D2F4C-C505-45DA-8E31-AF7812903207}">
  <sheetPr>
    <tabColor rgb="FF00B050"/>
  </sheetPr>
  <dimension ref="A1:T41"/>
  <sheetViews>
    <sheetView showGridLines="0" zoomScale="80" zoomScaleNormal="80" workbookViewId="0">
      <pane xSplit="8" ySplit="3" topLeftCell="I4" activePane="bottomRight" state="frozen"/>
      <selection pane="topRight" activeCell="G1" sqref="G1"/>
      <selection pane="bottomLeft" activeCell="A4" sqref="A4"/>
      <selection pane="bottomRight" sqref="A1:H1"/>
    </sheetView>
  </sheetViews>
  <sheetFormatPr baseColWidth="10" defaultColWidth="11.44140625" defaultRowHeight="14.4" x14ac:dyDescent="0.3"/>
  <cols>
    <col min="1" max="1" width="21" style="3" customWidth="1"/>
    <col min="2" max="2" width="13.88671875" style="3" customWidth="1"/>
    <col min="3" max="3" width="17.88671875" style="3" bestFit="1" customWidth="1"/>
    <col min="4" max="5" width="17.88671875" style="3" customWidth="1"/>
    <col min="6" max="7" width="6.109375" style="3" customWidth="1"/>
    <col min="8" max="8" width="15.44140625" style="3" customWidth="1"/>
    <col min="9" max="12" width="5.33203125" style="3" customWidth="1"/>
    <col min="13" max="18" width="11.44140625" style="3"/>
    <col min="19" max="20" width="0" style="3" hidden="1" customWidth="1"/>
    <col min="21" max="16384" width="11.44140625" style="3"/>
  </cols>
  <sheetData>
    <row r="1" spans="1:20" ht="37.5" customHeight="1" thickBot="1" x14ac:dyDescent="0.35">
      <c r="A1" s="142" t="s">
        <v>28</v>
      </c>
      <c r="B1" s="142"/>
      <c r="C1" s="142"/>
      <c r="D1" s="142"/>
      <c r="E1" s="142"/>
      <c r="F1" s="142"/>
      <c r="G1" s="142"/>
      <c r="H1" s="142"/>
      <c r="I1" s="44">
        <v>1</v>
      </c>
      <c r="J1" s="34">
        <v>2</v>
      </c>
      <c r="K1" s="34">
        <v>3</v>
      </c>
      <c r="L1" s="34">
        <v>4</v>
      </c>
    </row>
    <row r="2" spans="1:20" ht="132.75" customHeight="1" thickTop="1" x14ac:dyDescent="0.3">
      <c r="A2" s="40"/>
      <c r="B2" s="40"/>
      <c r="C2" s="40"/>
      <c r="D2" s="40"/>
      <c r="E2" s="41"/>
      <c r="F2" s="143"/>
      <c r="G2" s="143"/>
      <c r="H2" s="144"/>
      <c r="I2" s="45"/>
      <c r="J2" s="42"/>
      <c r="K2" s="38"/>
      <c r="L2" s="39"/>
    </row>
    <row r="3" spans="1:20" ht="28.8" x14ac:dyDescent="0.3">
      <c r="A3" s="6" t="s">
        <v>0</v>
      </c>
      <c r="B3" s="6" t="s">
        <v>74</v>
      </c>
      <c r="C3" s="6" t="s">
        <v>79</v>
      </c>
      <c r="D3" s="6" t="s">
        <v>5</v>
      </c>
      <c r="E3" s="6" t="s">
        <v>6</v>
      </c>
      <c r="F3" s="151" t="s">
        <v>75</v>
      </c>
      <c r="G3" s="151"/>
      <c r="H3" s="16" t="s">
        <v>8</v>
      </c>
      <c r="I3" s="20">
        <f>SUM(IF(I4=$H$4,3,0)+IF(I5=$F4+$G4,1,0)+IF(I6=$H$6,3,0)+IF(I7=$F6+$G6,1,0)+IF(I8=$H$8,3,0)+IF(I9=$F8+$G8,1,0)+IF(I10=$H$10,3,0)+IF(I11=$F10+$G10,1,0))</f>
        <v>0</v>
      </c>
      <c r="J3" s="6">
        <f>SUM(IF(J4=$H$4,3,0)+IF(J5=$F4+$G4,1,0)+IF(J6=$H$6,3,0)+IF(J7=$F6+$G6,1,0)+IF(J8=$H$8,3,0)+IF(J9=$F8+$G8,1,0)+IF(J10=$H$10,3,0)+IF(J11=$F10+$G10,1,0))</f>
        <v>0</v>
      </c>
      <c r="K3" s="6">
        <f t="shared" ref="K3:L3" si="0">SUM(IF(K4=$H$4,3,0)+IF(K5=$F4+$G4,1,0)+IF(K6=$H$6,3,0)+IF(K7=$F6+$G6,1,0)+IF(K8=$H$8,3,0)+IF(K9=$F8+$G8,1,0)+IF(K10=$H$10,3,0)+IF(K11=$F10+$G10,1,0))</f>
        <v>0</v>
      </c>
      <c r="L3" s="21">
        <f t="shared" si="0"/>
        <v>0</v>
      </c>
    </row>
    <row r="4" spans="1:20" ht="12.75" customHeight="1" x14ac:dyDescent="0.3">
      <c r="A4" s="120" t="s">
        <v>127</v>
      </c>
      <c r="B4" s="117">
        <v>46217</v>
      </c>
      <c r="C4" s="149" t="s">
        <v>88</v>
      </c>
      <c r="D4" s="149" t="s">
        <v>9</v>
      </c>
      <c r="E4" s="149" t="s">
        <v>9</v>
      </c>
      <c r="F4" s="130"/>
      <c r="G4" s="130"/>
      <c r="H4" s="134" t="str">
        <f>IF(F4="","-",IF(F4&gt;G4,"L",IF(F4=G4,"E",IF(F4&lt;G4,"V"))))</f>
        <v>-</v>
      </c>
      <c r="I4" s="46"/>
      <c r="J4" s="17"/>
      <c r="K4" s="17"/>
      <c r="L4" s="22"/>
    </row>
    <row r="5" spans="1:20" ht="12.75" customHeight="1" x14ac:dyDescent="0.3">
      <c r="A5" s="121"/>
      <c r="B5" s="106"/>
      <c r="C5" s="150"/>
      <c r="D5" s="150"/>
      <c r="E5" s="150"/>
      <c r="F5" s="98"/>
      <c r="G5" s="98"/>
      <c r="H5" s="135"/>
      <c r="I5" s="23" t="s">
        <v>9</v>
      </c>
      <c r="J5" s="18" t="s">
        <v>9</v>
      </c>
      <c r="K5" s="18" t="s">
        <v>9</v>
      </c>
      <c r="L5" s="24" t="s">
        <v>9</v>
      </c>
      <c r="S5" s="47" t="s">
        <v>7</v>
      </c>
      <c r="T5" s="48" t="s">
        <v>9</v>
      </c>
    </row>
    <row r="6" spans="1:20" ht="12.75" customHeight="1" x14ac:dyDescent="0.3">
      <c r="A6" s="121"/>
      <c r="B6" s="117">
        <v>46218</v>
      </c>
      <c r="C6" s="149" t="s">
        <v>90</v>
      </c>
      <c r="D6" s="149" t="s">
        <v>9</v>
      </c>
      <c r="E6" s="149" t="s">
        <v>9</v>
      </c>
      <c r="F6" s="130"/>
      <c r="G6" s="130"/>
      <c r="H6" s="134" t="str">
        <f t="shared" ref="H6:H10" si="1">IF(F6="","-",IF(F6&gt;G6,"L",IF(F6=G6,"E",IF(F6&lt;G6,"V"))))</f>
        <v>-</v>
      </c>
      <c r="I6" s="26"/>
      <c r="J6" s="13"/>
      <c r="K6" s="13"/>
      <c r="L6" s="25"/>
      <c r="S6" s="49" t="s">
        <v>16</v>
      </c>
      <c r="T6" s="50">
        <v>0</v>
      </c>
    </row>
    <row r="7" spans="1:20" ht="12.75" customHeight="1" x14ac:dyDescent="0.3">
      <c r="A7" s="121"/>
      <c r="B7" s="106"/>
      <c r="C7" s="150"/>
      <c r="D7" s="150"/>
      <c r="E7" s="150"/>
      <c r="F7" s="98"/>
      <c r="G7" s="98"/>
      <c r="H7" s="135"/>
      <c r="I7" s="26" t="s">
        <v>9</v>
      </c>
      <c r="J7" s="13" t="s">
        <v>9</v>
      </c>
      <c r="K7" s="13" t="s">
        <v>9</v>
      </c>
      <c r="L7" s="25" t="s">
        <v>9</v>
      </c>
      <c r="S7" s="49" t="s">
        <v>15</v>
      </c>
      <c r="T7" s="50">
        <v>1</v>
      </c>
    </row>
    <row r="8" spans="1:20" ht="12.75" customHeight="1" x14ac:dyDescent="0.3">
      <c r="A8" s="161" t="s">
        <v>128</v>
      </c>
      <c r="B8" s="116">
        <v>46221</v>
      </c>
      <c r="C8" s="154" t="s">
        <v>91</v>
      </c>
      <c r="D8" s="154" t="s">
        <v>9</v>
      </c>
      <c r="E8" s="154" t="s">
        <v>9</v>
      </c>
      <c r="F8" s="125"/>
      <c r="G8" s="125"/>
      <c r="H8" s="123" t="str">
        <f t="shared" si="1"/>
        <v>-</v>
      </c>
      <c r="I8" s="27"/>
      <c r="J8" s="19"/>
      <c r="K8" s="19"/>
      <c r="L8" s="28"/>
    </row>
    <row r="9" spans="1:20" ht="12.75" customHeight="1" x14ac:dyDescent="0.3">
      <c r="A9" s="161"/>
      <c r="B9" s="108"/>
      <c r="C9" s="153"/>
      <c r="D9" s="153"/>
      <c r="E9" s="153"/>
      <c r="F9" s="100"/>
      <c r="G9" s="100"/>
      <c r="H9" s="124"/>
      <c r="I9" s="27" t="s">
        <v>9</v>
      </c>
      <c r="J9" s="19" t="s">
        <v>9</v>
      </c>
      <c r="K9" s="19" t="s">
        <v>9</v>
      </c>
      <c r="L9" s="28" t="s">
        <v>9</v>
      </c>
    </row>
    <row r="10" spans="1:20" ht="12.75" customHeight="1" x14ac:dyDescent="0.3">
      <c r="A10" s="161" t="s">
        <v>25</v>
      </c>
      <c r="B10" s="116">
        <v>46222</v>
      </c>
      <c r="C10" s="154" t="s">
        <v>81</v>
      </c>
      <c r="D10" s="154" t="s">
        <v>9</v>
      </c>
      <c r="E10" s="157" t="s">
        <v>9</v>
      </c>
      <c r="F10" s="125"/>
      <c r="G10" s="125"/>
      <c r="H10" s="123" t="str">
        <f t="shared" si="1"/>
        <v>-</v>
      </c>
      <c r="I10" s="26"/>
      <c r="J10" s="13"/>
      <c r="K10" s="13"/>
      <c r="L10" s="25"/>
    </row>
    <row r="11" spans="1:20" ht="12.75" customHeight="1" x14ac:dyDescent="0.3">
      <c r="A11" s="161"/>
      <c r="B11" s="108"/>
      <c r="C11" s="153"/>
      <c r="D11" s="153"/>
      <c r="E11" s="158"/>
      <c r="F11" s="100"/>
      <c r="G11" s="100"/>
      <c r="H11" s="124"/>
      <c r="I11" s="26" t="s">
        <v>9</v>
      </c>
      <c r="J11" s="13" t="s">
        <v>9</v>
      </c>
      <c r="K11" s="13" t="s">
        <v>9</v>
      </c>
      <c r="L11" s="25" t="s">
        <v>9</v>
      </c>
    </row>
    <row r="12" spans="1:20" ht="12.75" customHeight="1" x14ac:dyDescent="0.3">
      <c r="E12" s="159" t="s">
        <v>10</v>
      </c>
      <c r="F12" s="159"/>
      <c r="G12" s="159"/>
      <c r="H12" s="5">
        <f>SUM(F4:G11)</f>
        <v>0</v>
      </c>
      <c r="I12" s="51">
        <f>SUM(I11,I9,I7,I5)</f>
        <v>0</v>
      </c>
      <c r="J12" s="15">
        <f>SUM(J11,J9,J7,J5)</f>
        <v>0</v>
      </c>
      <c r="K12" s="15">
        <f t="shared" ref="K12:L12" si="2">SUM(K11,K9,K7,K5)</f>
        <v>0</v>
      </c>
      <c r="L12" s="30">
        <f t="shared" si="2"/>
        <v>0</v>
      </c>
    </row>
    <row r="13" spans="1:20" ht="33" customHeight="1" thickBot="1" x14ac:dyDescent="0.35">
      <c r="E13" s="137" t="s">
        <v>14</v>
      </c>
      <c r="F13" s="137"/>
      <c r="G13" s="137"/>
      <c r="H13" s="137"/>
      <c r="I13" s="31">
        <f t="shared" ref="I13:L13" si="3">SUM(I14:I17)</f>
        <v>100</v>
      </c>
      <c r="J13" s="32">
        <f t="shared" si="3"/>
        <v>100</v>
      </c>
      <c r="K13" s="32">
        <f t="shared" si="3"/>
        <v>100</v>
      </c>
      <c r="L13" s="33">
        <f t="shared" si="3"/>
        <v>100</v>
      </c>
    </row>
    <row r="14" spans="1:20" ht="15" thickTop="1" x14ac:dyDescent="0.3">
      <c r="I14" s="4">
        <f>IF(I12=$H$12,100,IF($H$12-I12=1,99,IF($H$12-I12=-1,99,IF($H$12-I12=2,98,IF($H$12-I12=-2,98,IF($H$12-I12=3,97,IF($H$12-I12=-3,97,IF($H$12-I12=4,96,IF($H$12-I12=-4,96,IF($H$12-I12=5,95,IF($H$12-I12=-5,95,IF($H$12-I12=6,94,IF($H$12-I12=-6,94,IF($H$12-I12=7,93,IF($H$12-I12=-7,93,IF($H$12-I12=8,92,IF($H$12-I12=-8,92,IF($H$12-I12=9,91,IF($H$12-I12=-9,91,IF($H$12-I12=10,90,IF($H$12-I12=-10,90,IF($H$12-I12=11,89,IF($H$12-I12=-11,89,IF($H$12-I12=12,88,IF($H$12-I12=-12,88,IF($H$12-I12=13,87,IF($H$12-I12=-13,87,IF($H$12-I12=14,86,IF($H$12-I12=-14,86,IF($H$12-I12=15,85,IF($H$12-I12=-15,85,IF($H$12-I12=16,84,IF($H$12-I12=-16,84,IF($H$12-I12=17,83,IF($H$12-I12=-17,83,IF($H$12-I12=18,82,IF($H$12-I12=-18,82,IF($H$12-I12=19,81,IF($H$12-I12=-19,81,IF($H$12-I12=20,80,IF($H$12-I12=-20,80,IF($H$12-I12=21,79,IF($H$12-I12=-21,79,IF($H$12-I12=22,78,IF($H$12-I12=-22,78,IF($H$12-I12=23,77,IF($H$12-I12=-23,77,IF($H$12-I12=24,76,IF($H$12-I12=-24,76,IF($H$12-I12=25,75,IF($H$12-I12=-25,75,IF($H$12-I12=26,74,IF($H$12-I12=-26,74,IF($H$12-I12=27,73,IF($H$12-I12=-27,73,IF($H$12-I12=28,72,IF($H$12-I12=-28,72,IF($H$12-I12=29,71,IF($H$12-I12=-29,71,IF($H$12-I12=30,70,IF($H$12-I12=-30,70,IF($H$12-I12=31,69,IF($H$12-I12=-31,69,IF($H$12-I12=32,68,IF($H$12-I12=-32,68,0)))))))))))))))))))))))))))))))))))))))))))))))))))))))))))))))))</f>
        <v>100</v>
      </c>
      <c r="J14" s="4">
        <f t="shared" ref="J14:L14" si="4">IF(J12=$H$12,100,IF($H$12-J12=1,99,IF($H$12-J12=-1,99,IF($H$12-J12=2,98,IF($H$12-J12=-2,98,IF($H$12-J12=3,97,IF($H$12-J12=-3,97,IF($H$12-J12=4,96,IF($H$12-J12=-4,96,IF($H$12-J12=5,95,IF($H$12-J12=-5,95,IF($H$12-J12=6,94,IF($H$12-J12=-6,94,IF($H$12-J12=7,93,IF($H$12-J12=-7,93,IF($H$12-J12=8,92,IF($H$12-J12=-8,92,IF($H$12-J12=9,91,IF($H$12-J12=-9,91,IF($H$12-J12=10,90,IF($H$12-J12=-10,90,IF($H$12-J12=11,89,IF($H$12-J12=-11,89,IF($H$12-J12=12,88,IF($H$12-J12=-12,88,IF($H$12-J12=13,87,IF($H$12-J12=-13,87,IF($H$12-J12=14,86,IF($H$12-J12=-14,86,IF($H$12-J12=15,85,IF($H$12-J12=-15,85,IF($H$12-J12=16,84,IF($H$12-J12=-16,84,IF($H$12-J12=17,83,IF($H$12-J12=-17,83,IF($H$12-J12=18,82,IF($H$12-J12=-18,82,IF($H$12-J12=19,81,IF($H$12-J12=-19,81,IF($H$12-J12=20,80,IF($H$12-J12=-20,80,IF($H$12-J12=21,79,IF($H$12-J12=-21,79,IF($H$12-J12=22,78,IF($H$12-J12=-22,78,IF($H$12-J12=23,77,IF($H$12-J12=-23,77,IF($H$12-J12=24,76,IF($H$12-J12=-24,76,IF($H$12-J12=25,75,IF($H$12-J12=-25,75,IF($H$12-J12=26,74,IF($H$12-J12=-26,74,IF($H$12-J12=27,73,IF($H$12-J12=-27,73,IF($H$12-J12=28,72,IF($H$12-J12=-28,72,IF($H$12-J12=29,71,IF($H$12-J12=-29,71,IF($H$12-J12=30,70,IF($H$12-J12=-30,70,IF($H$12-J12=31,69,IF($H$12-J12=-31,69,IF($H$12-J12=32,68,IF($H$12-J12=-32,68,0)))))))))))))))))))))))))))))))))))))))))))))))))))))))))))))))))</f>
        <v>100</v>
      </c>
      <c r="K14" s="4">
        <f t="shared" si="4"/>
        <v>100</v>
      </c>
      <c r="L14" s="4">
        <f t="shared" si="4"/>
        <v>100</v>
      </c>
    </row>
    <row r="15" spans="1:20" x14ac:dyDescent="0.3">
      <c r="I15" s="4">
        <f>IF($H$12-I12=33,67,IF($H$12-I12=-33,67,IF($H$12-I12=34,66,IF($H$12-I12=-34,66,IF($H$12-I12=35,65,IF($H$12-I12=-35,65,IF($H$12-I12=36,64,IF($H$12-I12=-36,64,IF($H$12-I12=37,63,IF($H$12-I12=-37,63,IF($H$12-I12=38,62,IF($H$12-I12=-38,62,IF($H$12-I12=39,61,IF($H$12-I12=-39,61,IF($H$12-I12=40,60,IF($H$12-I12=-40,60,IF($H$12-I12=41,59,IF($H$12-I12=-41,59,IF($H$12-I12=42,58,IF($H$12-I12=-42,58,IF($H$12-I12=43,57,IF($H$12-I12=-43,57,IF($H$12-I12=44,56,IF($H$12-I12=-44,56,IF($H$12-I12=45,55,IF($H$12-I12=-45,55,IF($H$12-I12=46,54,IF($H$12-I12=-46,54,IF($H$12-I12=47,53,IF($H$12-I12=-47,53,IF($H$12-I12=48,52,IF($H$12-I12=-48,52,IF($H$12-I12=49,51,IF($H$12-I12=-49,51,IF($H$12-I12=50,50,IF($H$12-I12=-50,50,IF($H$12-I12=51,49,IF($H$12-I12=-51,49,IF($H$12-I12=52,48,IF($H$12-I12=-52,48,IF($H$12-I12=53,47,IF($H$12-I12=-53,47,IF($H$12-I12=54,46,IF($H$12-I12=-54,46,IF($H$12-I12=55,45,IF($H$12-I12=-55,45,IF($H$12-I12=56,44,IF($H$12-I12=-56,44,IF($H$12-I12=57,43,IF($H$12-I12=-57,43,IF($H$12-I12=58,42,IF($H$12-I12=-58,42,IF($H$12-I12=59,41,IF($H$12-I12=-59,41,IF($H$12-I12=60,40,IF($H$12-I12=-60,40,IF($H$12-I12=61,39,IF($H$12-I12=-61,39,IF($H$12-I12=62,38,IF($H$12-I12=-62,38,IF($H$12-I12=63,37,IF($H$12-I12=-63,37,IF($H$12-I12=64,36,IF($H$12-I12=-64,36,IF($H$12-I12=65,35,0)))))))))))))))))))))))))))))))))))))))))))))))))))))))))))))))))</f>
        <v>0</v>
      </c>
      <c r="J15" s="4">
        <f t="shared" ref="J15:L15" si="5">IF($H$12-J12=33,67,IF($H$12-J12=-33,67,IF($H$12-J12=34,66,IF($H$12-J12=-34,66,IF($H$12-J12=35,65,IF($H$12-J12=-35,65,IF($H$12-J12=36,64,IF($H$12-J12=-36,64,IF($H$12-J12=37,63,IF($H$12-J12=-37,63,IF($H$12-J12=38,62,IF($H$12-J12=-38,62,IF($H$12-J12=39,61,IF($H$12-J12=-39,61,IF($H$12-J12=40,60,IF($H$12-J12=-40,60,IF($H$12-J12=41,59,IF($H$12-J12=-41,59,IF($H$12-J12=42,58,IF($H$12-J12=-42,58,IF($H$12-J12=43,57,IF($H$12-J12=-43,57,IF($H$12-J12=44,56,IF($H$12-J12=-44,56,IF($H$12-J12=45,55,IF($H$12-J12=-45,55,IF($H$12-J12=46,54,IF($H$12-J12=-46,54,IF($H$12-J12=47,53,IF($H$12-J12=-47,53,IF($H$12-J12=48,52,IF($H$12-J12=-48,52,IF($H$12-J12=49,51,IF($H$12-J12=-49,51,IF($H$12-J12=50,50,IF($H$12-J12=-50,50,IF($H$12-J12=51,49,IF($H$12-J12=-51,49,IF($H$12-J12=52,48,IF($H$12-J12=-52,48,IF($H$12-J12=53,47,IF($H$12-J12=-53,47,IF($H$12-J12=54,46,IF($H$12-J12=-54,46,IF($H$12-J12=55,45,IF($H$12-J12=-55,45,IF($H$12-J12=56,44,IF($H$12-J12=-56,44,IF($H$12-J12=57,43,IF($H$12-J12=-57,43,IF($H$12-J12=58,42,IF($H$12-J12=-58,42,IF($H$12-J12=59,41,IF($H$12-J12=-59,41,IF($H$12-J12=60,40,IF($H$12-J12=-60,40,IF($H$12-J12=61,39,IF($H$12-J12=-61,39,IF($H$12-J12=62,38,IF($H$12-J12=-62,38,IF($H$12-J12=63,37,IF($H$12-J12=-63,37,IF($H$12-J12=64,36,IF($H$12-J12=-64,36,IF($H$12-J12=65,35,0)))))))))))))))))))))))))))))))))))))))))))))))))))))))))))))))))</f>
        <v>0</v>
      </c>
      <c r="K15" s="4">
        <f t="shared" si="5"/>
        <v>0</v>
      </c>
      <c r="L15" s="4">
        <f t="shared" si="5"/>
        <v>0</v>
      </c>
    </row>
    <row r="16" spans="1:20" x14ac:dyDescent="0.3">
      <c r="I16" s="4">
        <f>IF($H$12-I12=-65,35,IF($H$12-I12=66,34,IF($H$12-I12=-66,34,IF($H$12-I12=67,33,IF($H$12-I12=-67,33,IF($H$12-I12=68,32,IF($H$12-I12=-68,32,IF($H$12-I12=69,31,IF($H$12-I12=-69,31,IF($H$12-I12=70,30,IF($H$12-I12=-70,30,IF($H$12-I12=71,29,IF($H$12-I12=-71,29,IF($H$12-I12=72,28,IF($H$12-I12=-72,28,IF($H$12-I12=73,27,IF($H$12-I12=-73,27,IF($H$12-I12=74,26,IF($H$12-I12=-74,26,IF($H$12-I12=75,25,IF($H$12-I12=-75,25,IF($H$12-I12=76,24,IF($H$12-I12=-76,24,IF($H$12-I12=77,23,IF($H$12-I12=-77,23,IF($H$12-I12=78,22,IF($H$12-I12=-78,22,IF($H$12-I12=79,21,IF($H$12-I12=-79,21,IF($H$12-I12=80,20,IF($H$12-I12=-80,20,IF($H$12-I12=81,19,IF($H$12-I12=-81,19,IF($H$12-I12=82,18,IF($H$12-I12=-82,18,IF($H$12-I12=83,17,IF($H$12-I12=-83,17,IF($H$12-I12=84,16,IF($H$12-I12=-84,16,IF($H$12-I12=85,15,IF($H$12-I12=-85,15,IF($H$12-I12=86,14,IF($H$12-I12=-86,14,IF($H$12-I12=87,13,IF($H$12-I12=-87,13,IF($H$12-I12=88,12,IF($H$12-I12=-88,12,IF($H$12-I12=89,11,IF($H$12-I12=-89,11,IF($H$12-I12=90,10,IF($H$12-I12=-90,10,IF($H$12-I12=91,9,IF($H$12-I12=-91,9,IF($H$12-I12=92,8,IF($H$12-I12=-92,8,IF($H$12-I12=93,7,IF($H$12-I12=-93,7,IF($H$12-I12=94,6,IF($H$12-I12=-94,6,IF($H$12-I12=95,5,IF($H$12-I12=-95,5,IF($H$12-I12=96,4,0))))))))))))))))))))))))))))))))))))))))))))))))))))))))))))))</f>
        <v>0</v>
      </c>
      <c r="J16" s="4">
        <f t="shared" ref="J16:L16" si="6">IF($H$12-J12=-65,35,IF($H$12-J12=66,34,IF($H$12-J12=-66,34,IF($H$12-J12=67,33,IF($H$12-J12=-67,33,IF($H$12-J12=68,32,IF($H$12-J12=-68,32,IF($H$12-J12=69,31,IF($H$12-J12=-69,31,IF($H$12-J12=70,30,IF($H$12-J12=-70,30,IF($H$12-J12=71,29,IF($H$12-J12=-71,29,IF($H$12-J12=72,28,IF($H$12-J12=-72,28,IF($H$12-J12=73,27,IF($H$12-J12=-73,27,IF($H$12-J12=74,26,IF($H$12-J12=-74,26,IF($H$12-J12=75,25,IF($H$12-J12=-75,25,IF($H$12-J12=76,24,IF($H$12-J12=-76,24,IF($H$12-J12=77,23,IF($H$12-J12=-77,23,IF($H$12-J12=78,22,IF($H$12-J12=-78,22,IF($H$12-J12=79,21,IF($H$12-J12=-79,21,IF($H$12-J12=80,20,IF($H$12-J12=-80,20,IF($H$12-J12=81,19,IF($H$12-J12=-81,19,IF($H$12-J12=82,18,IF($H$12-J12=-82,18,IF($H$12-J12=83,17,IF($H$12-J12=-83,17,IF($H$12-J12=84,16,IF($H$12-J12=-84,16,IF($H$12-J12=85,15,IF($H$12-J12=-85,15,IF($H$12-J12=86,14,IF($H$12-J12=-86,14,IF($H$12-J12=87,13,IF($H$12-J12=-87,13,IF($H$12-J12=88,12,IF($H$12-J12=-88,12,IF($H$12-J12=89,11,IF($H$12-J12=-89,11,IF($H$12-J12=90,10,IF($H$12-J12=-90,10,IF($H$12-J12=91,9,IF($H$12-J12=-91,9,IF($H$12-J12=92,8,IF($H$12-J12=-92,8,IF($H$12-J12=93,7,IF($H$12-J12=-93,7,IF($H$12-J12=94,6,IF($H$12-J12=-94,6,IF($H$12-J12=95,5,IF($H$12-J12=-95,5,IF($H$12-J12=96,4,0))))))))))))))))))))))))))))))))))))))))))))))))))))))))))))))</f>
        <v>0</v>
      </c>
      <c r="K16" s="4">
        <f t="shared" si="6"/>
        <v>0</v>
      </c>
      <c r="L16" s="4">
        <f t="shared" si="6"/>
        <v>0</v>
      </c>
    </row>
    <row r="17" spans="4:12" x14ac:dyDescent="0.3">
      <c r="I17" s="4">
        <f>IF($H$12-I12=-96,4,IF($H$12-I12=97,3,IF($H$12-I12=-97,3,IF($H$12-I12=98,2,IF($H$12-I12=-98,2,IF($H$12-I12=99,1,IF($H$12-I12=-99,1,IF($H$12-I12=100,0,IF($H$12-I12=-100,0,0)))))))))</f>
        <v>0</v>
      </c>
      <c r="J17" s="4">
        <f t="shared" ref="J17:L17" si="7">IF($H$12-J12=-96,4,IF($H$12-J12=97,3,IF($H$12-J12=-97,3,IF($H$12-J12=98,2,IF($H$12-J12=-98,2,IF($H$12-J12=99,1,IF($H$12-J12=-99,1,IF($H$12-J12=100,0,IF($H$12-J12=-100,0,0)))))))))</f>
        <v>0</v>
      </c>
      <c r="K17" s="4">
        <f t="shared" si="7"/>
        <v>0</v>
      </c>
      <c r="L17" s="4">
        <f t="shared" si="7"/>
        <v>0</v>
      </c>
    </row>
    <row r="18" spans="4:12" ht="24" customHeight="1" x14ac:dyDescent="0.3">
      <c r="D18" s="160"/>
      <c r="E18" s="160"/>
      <c r="F18" s="160"/>
      <c r="G18" s="160"/>
    </row>
    <row r="19" spans="4:12" ht="24" customHeight="1" x14ac:dyDescent="0.3">
      <c r="D19" s="160"/>
      <c r="E19" s="160"/>
      <c r="F19" s="160"/>
      <c r="G19" s="160"/>
    </row>
    <row r="20" spans="4:12" ht="24" customHeight="1" x14ac:dyDescent="0.3">
      <c r="D20" s="160"/>
      <c r="E20" s="160"/>
      <c r="F20" s="160"/>
      <c r="G20" s="160"/>
    </row>
    <row r="41" spans="9:9" x14ac:dyDescent="0.3">
      <c r="I41" s="3">
        <v>1</v>
      </c>
    </row>
  </sheetData>
  <sheetProtection algorithmName="SHA-512" hashValue="/MtXfXly9R3REBvntxKIZCD91y4iUcT9D4ILujy83mCENsUO31lAw/oxWtxDAESQFa94XZmCo+1hXgm3XCxfag==" saltValue="RySVb+JvM8dpz69XIc5rYQ==" spinCount="100000" sheet="1" objects="1" scenarios="1"/>
  <mergeCells count="39">
    <mergeCell ref="D19:G19"/>
    <mergeCell ref="D20:G20"/>
    <mergeCell ref="E8:E9"/>
    <mergeCell ref="F8:F9"/>
    <mergeCell ref="E12:G12"/>
    <mergeCell ref="E13:H13"/>
    <mergeCell ref="D18:G18"/>
    <mergeCell ref="G6:G7"/>
    <mergeCell ref="H6:H7"/>
    <mergeCell ref="A8:A9"/>
    <mergeCell ref="A10:A11"/>
    <mergeCell ref="G8:G9"/>
    <mergeCell ref="H8:H9"/>
    <mergeCell ref="B10:B11"/>
    <mergeCell ref="C10:C11"/>
    <mergeCell ref="D10:D11"/>
    <mergeCell ref="E10:E11"/>
    <mergeCell ref="F10:F11"/>
    <mergeCell ref="G10:G11"/>
    <mergeCell ref="H10:H11"/>
    <mergeCell ref="B8:B9"/>
    <mergeCell ref="C8:C9"/>
    <mergeCell ref="D8:D9"/>
    <mergeCell ref="A1:H1"/>
    <mergeCell ref="F2:H2"/>
    <mergeCell ref="F3:G3"/>
    <mergeCell ref="A4:A7"/>
    <mergeCell ref="B4:B5"/>
    <mergeCell ref="C4:C5"/>
    <mergeCell ref="D4:D5"/>
    <mergeCell ref="E4:E5"/>
    <mergeCell ref="F4:F5"/>
    <mergeCell ref="G4:G5"/>
    <mergeCell ref="H4:H5"/>
    <mergeCell ref="B6:B7"/>
    <mergeCell ref="C6:C7"/>
    <mergeCell ref="D6:D7"/>
    <mergeCell ref="E6:E7"/>
    <mergeCell ref="F6:F7"/>
  </mergeCells>
  <dataValidations count="2">
    <dataValidation type="list" allowBlank="1" showInputMessage="1" showErrorMessage="1" sqref="I4:L4 I6:L6 I8:L8 I10:L10" xr:uid="{D1202CE7-020E-413B-9703-A70D7B5DC815}">
      <formula1>$S$5:$S$7</formula1>
    </dataValidation>
    <dataValidation type="list" allowBlank="1" showInputMessage="1" showErrorMessage="1" sqref="I9:L9 I7:L7 I11:L11 I5:L5" xr:uid="{D806FD66-74FB-48FC-9CCF-420202346C22}">
      <formula1>$T$5:$T$7</formula1>
    </dataValidation>
  </dataValidations>
  <pageMargins left="0.25" right="0.25"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99"/>
  <sheetViews>
    <sheetView topLeftCell="B1" workbookViewId="0">
      <selection activeCell="J62" sqref="J62:J63"/>
    </sheetView>
  </sheetViews>
  <sheetFormatPr baseColWidth="10" defaultColWidth="11.44140625" defaultRowHeight="14.4" x14ac:dyDescent="0.3"/>
  <cols>
    <col min="1" max="6" width="11.44140625" style="1"/>
    <col min="7" max="7" width="16.88671875" style="1" bestFit="1" customWidth="1"/>
    <col min="8" max="16384" width="11.44140625" style="1"/>
  </cols>
  <sheetData>
    <row r="1" spans="2:15" x14ac:dyDescent="0.3">
      <c r="B1" s="1" t="s">
        <v>11</v>
      </c>
      <c r="C1" s="1">
        <v>2</v>
      </c>
      <c r="D1" s="1" t="s">
        <v>12</v>
      </c>
      <c r="E1" s="1">
        <v>98</v>
      </c>
      <c r="F1" s="1" t="s">
        <v>12</v>
      </c>
      <c r="G1" s="1" t="str">
        <f>CONCATENATE(B1,C1,D1,E1,F1)</f>
        <v>SI(G28-H28=2;98;</v>
      </c>
      <c r="H1" s="1" t="s">
        <v>13</v>
      </c>
      <c r="I1" s="1" t="s">
        <v>11</v>
      </c>
      <c r="J1" s="1" t="s">
        <v>9</v>
      </c>
      <c r="K1" s="1">
        <v>2</v>
      </c>
      <c r="L1" s="1" t="s">
        <v>12</v>
      </c>
      <c r="M1" s="1">
        <v>98</v>
      </c>
      <c r="N1" s="1" t="s">
        <v>12</v>
      </c>
      <c r="O1" s="1" t="str">
        <f>CONCATENATE(I1,J1,K1,L1,M1,N1)</f>
        <v>SI(G28-H28=-2;98;</v>
      </c>
    </row>
    <row r="2" spans="2:15" x14ac:dyDescent="0.3">
      <c r="B2" s="1" t="s">
        <v>11</v>
      </c>
      <c r="C2" s="1">
        <v>3</v>
      </c>
      <c r="D2" s="1" t="s">
        <v>12</v>
      </c>
      <c r="E2" s="1">
        <v>97</v>
      </c>
      <c r="F2" s="1" t="s">
        <v>12</v>
      </c>
      <c r="G2" s="1" t="str">
        <f t="shared" ref="G2:G65" si="0">CONCATENATE(B2,C2,D2,E2,F2)</f>
        <v>SI(G28-H28=3;97;</v>
      </c>
      <c r="I2" s="1" t="s">
        <v>11</v>
      </c>
      <c r="J2" s="1" t="s">
        <v>9</v>
      </c>
      <c r="K2" s="1">
        <v>3</v>
      </c>
      <c r="L2" s="1" t="s">
        <v>12</v>
      </c>
      <c r="M2" s="1">
        <v>97</v>
      </c>
      <c r="N2" s="1" t="s">
        <v>12</v>
      </c>
      <c r="O2" s="1" t="str">
        <f t="shared" ref="O2:O65" si="1">CONCATENATE(I2,J2,K2,L2,M2,N2)</f>
        <v>SI(G28-H28=-3;97;</v>
      </c>
    </row>
    <row r="3" spans="2:15" x14ac:dyDescent="0.3">
      <c r="B3" s="1" t="s">
        <v>11</v>
      </c>
      <c r="C3" s="1">
        <v>4</v>
      </c>
      <c r="D3" s="1" t="s">
        <v>12</v>
      </c>
      <c r="E3" s="1">
        <v>96</v>
      </c>
      <c r="F3" s="1" t="s">
        <v>12</v>
      </c>
      <c r="G3" s="1" t="str">
        <f t="shared" si="0"/>
        <v>SI(G28-H28=4;96;</v>
      </c>
      <c r="I3" s="1" t="s">
        <v>11</v>
      </c>
      <c r="J3" s="1" t="s">
        <v>9</v>
      </c>
      <c r="K3" s="1">
        <v>4</v>
      </c>
      <c r="L3" s="1" t="s">
        <v>12</v>
      </c>
      <c r="M3" s="1">
        <v>96</v>
      </c>
      <c r="N3" s="1" t="s">
        <v>12</v>
      </c>
      <c r="O3" s="1" t="str">
        <f t="shared" si="1"/>
        <v>SI(G28-H28=-4;96;</v>
      </c>
    </row>
    <row r="4" spans="2:15" x14ac:dyDescent="0.3">
      <c r="B4" s="1" t="s">
        <v>11</v>
      </c>
      <c r="C4" s="1">
        <v>5</v>
      </c>
      <c r="D4" s="1" t="s">
        <v>12</v>
      </c>
      <c r="E4" s="1">
        <v>95</v>
      </c>
      <c r="F4" s="1" t="s">
        <v>12</v>
      </c>
      <c r="G4" s="1" t="str">
        <f t="shared" si="0"/>
        <v>SI(G28-H28=5;95;</v>
      </c>
      <c r="I4" s="1" t="s">
        <v>11</v>
      </c>
      <c r="J4" s="1" t="s">
        <v>9</v>
      </c>
      <c r="K4" s="1">
        <v>5</v>
      </c>
      <c r="L4" s="1" t="s">
        <v>12</v>
      </c>
      <c r="M4" s="1">
        <v>95</v>
      </c>
      <c r="N4" s="1" t="s">
        <v>12</v>
      </c>
      <c r="O4" s="1" t="str">
        <f t="shared" si="1"/>
        <v>SI(G28-H28=-5;95;</v>
      </c>
    </row>
    <row r="5" spans="2:15" x14ac:dyDescent="0.3">
      <c r="B5" s="1" t="s">
        <v>11</v>
      </c>
      <c r="C5" s="1">
        <v>6</v>
      </c>
      <c r="D5" s="1" t="s">
        <v>12</v>
      </c>
      <c r="E5" s="1">
        <v>94</v>
      </c>
      <c r="F5" s="1" t="s">
        <v>12</v>
      </c>
      <c r="G5" s="1" t="str">
        <f t="shared" si="0"/>
        <v>SI(G28-H28=6;94;</v>
      </c>
      <c r="I5" s="1" t="s">
        <v>11</v>
      </c>
      <c r="J5" s="1" t="s">
        <v>9</v>
      </c>
      <c r="K5" s="1">
        <v>6</v>
      </c>
      <c r="L5" s="1" t="s">
        <v>12</v>
      </c>
      <c r="M5" s="1">
        <v>94</v>
      </c>
      <c r="N5" s="1" t="s">
        <v>12</v>
      </c>
      <c r="O5" s="1" t="str">
        <f t="shared" si="1"/>
        <v>SI(G28-H28=-6;94;</v>
      </c>
    </row>
    <row r="6" spans="2:15" x14ac:dyDescent="0.3">
      <c r="B6" s="1" t="s">
        <v>11</v>
      </c>
      <c r="C6" s="1">
        <v>7</v>
      </c>
      <c r="D6" s="1" t="s">
        <v>12</v>
      </c>
      <c r="E6" s="1">
        <v>93</v>
      </c>
      <c r="F6" s="1" t="s">
        <v>12</v>
      </c>
      <c r="G6" s="1" t="str">
        <f t="shared" si="0"/>
        <v>SI(G28-H28=7;93;</v>
      </c>
      <c r="I6" s="1" t="s">
        <v>11</v>
      </c>
      <c r="J6" s="1" t="s">
        <v>9</v>
      </c>
      <c r="K6" s="1">
        <v>7</v>
      </c>
      <c r="L6" s="1" t="s">
        <v>12</v>
      </c>
      <c r="M6" s="1">
        <v>93</v>
      </c>
      <c r="N6" s="1" t="s">
        <v>12</v>
      </c>
      <c r="O6" s="1" t="str">
        <f t="shared" si="1"/>
        <v>SI(G28-H28=-7;93;</v>
      </c>
    </row>
    <row r="7" spans="2:15" x14ac:dyDescent="0.3">
      <c r="B7" s="1" t="s">
        <v>11</v>
      </c>
      <c r="C7" s="1">
        <v>8</v>
      </c>
      <c r="D7" s="1" t="s">
        <v>12</v>
      </c>
      <c r="E7" s="1">
        <v>92</v>
      </c>
      <c r="F7" s="1" t="s">
        <v>12</v>
      </c>
      <c r="G7" s="1" t="str">
        <f t="shared" si="0"/>
        <v>SI(G28-H28=8;92;</v>
      </c>
      <c r="I7" s="1" t="s">
        <v>11</v>
      </c>
      <c r="J7" s="1" t="s">
        <v>9</v>
      </c>
      <c r="K7" s="1">
        <v>8</v>
      </c>
      <c r="L7" s="1" t="s">
        <v>12</v>
      </c>
      <c r="M7" s="1">
        <v>92</v>
      </c>
      <c r="N7" s="1" t="s">
        <v>12</v>
      </c>
      <c r="O7" s="1" t="str">
        <f t="shared" si="1"/>
        <v>SI(G28-H28=-8;92;</v>
      </c>
    </row>
    <row r="8" spans="2:15" x14ac:dyDescent="0.3">
      <c r="B8" s="1" t="s">
        <v>11</v>
      </c>
      <c r="C8" s="1">
        <v>9</v>
      </c>
      <c r="D8" s="1" t="s">
        <v>12</v>
      </c>
      <c r="E8" s="1">
        <v>91</v>
      </c>
      <c r="F8" s="1" t="s">
        <v>12</v>
      </c>
      <c r="G8" s="1" t="str">
        <f t="shared" si="0"/>
        <v>SI(G28-H28=9;91;</v>
      </c>
      <c r="I8" s="1" t="s">
        <v>11</v>
      </c>
      <c r="J8" s="1" t="s">
        <v>9</v>
      </c>
      <c r="K8" s="1">
        <v>9</v>
      </c>
      <c r="L8" s="1" t="s">
        <v>12</v>
      </c>
      <c r="M8" s="1">
        <v>91</v>
      </c>
      <c r="N8" s="1" t="s">
        <v>12</v>
      </c>
      <c r="O8" s="1" t="str">
        <f t="shared" si="1"/>
        <v>SI(G28-H28=-9;91;</v>
      </c>
    </row>
    <row r="9" spans="2:15" x14ac:dyDescent="0.3">
      <c r="B9" s="1" t="s">
        <v>11</v>
      </c>
      <c r="C9" s="1">
        <v>10</v>
      </c>
      <c r="D9" s="1" t="s">
        <v>12</v>
      </c>
      <c r="E9" s="1">
        <v>90</v>
      </c>
      <c r="F9" s="1" t="s">
        <v>12</v>
      </c>
      <c r="G9" s="1" t="str">
        <f t="shared" si="0"/>
        <v>SI(G28-H28=10;90;</v>
      </c>
      <c r="I9" s="1" t="s">
        <v>11</v>
      </c>
      <c r="J9" s="1" t="s">
        <v>9</v>
      </c>
      <c r="K9" s="1">
        <v>10</v>
      </c>
      <c r="L9" s="1" t="s">
        <v>12</v>
      </c>
      <c r="M9" s="1">
        <v>90</v>
      </c>
      <c r="N9" s="1" t="s">
        <v>12</v>
      </c>
      <c r="O9" s="1" t="str">
        <f t="shared" si="1"/>
        <v>SI(G28-H28=-10;90;</v>
      </c>
    </row>
    <row r="10" spans="2:15" x14ac:dyDescent="0.3">
      <c r="B10" s="1" t="s">
        <v>11</v>
      </c>
      <c r="C10" s="1">
        <v>11</v>
      </c>
      <c r="D10" s="1" t="s">
        <v>12</v>
      </c>
      <c r="E10" s="1">
        <v>89</v>
      </c>
      <c r="F10" s="1" t="s">
        <v>12</v>
      </c>
      <c r="G10" s="1" t="str">
        <f t="shared" si="0"/>
        <v>SI(G28-H28=11;89;</v>
      </c>
      <c r="I10" s="1" t="s">
        <v>11</v>
      </c>
      <c r="J10" s="1" t="s">
        <v>9</v>
      </c>
      <c r="K10" s="1">
        <v>11</v>
      </c>
      <c r="L10" s="1" t="s">
        <v>12</v>
      </c>
      <c r="M10" s="1">
        <v>89</v>
      </c>
      <c r="N10" s="1" t="s">
        <v>12</v>
      </c>
      <c r="O10" s="1" t="str">
        <f t="shared" si="1"/>
        <v>SI(G28-H28=-11;89;</v>
      </c>
    </row>
    <row r="11" spans="2:15" x14ac:dyDescent="0.3">
      <c r="B11" s="1" t="s">
        <v>11</v>
      </c>
      <c r="C11" s="1">
        <v>12</v>
      </c>
      <c r="D11" s="1" t="s">
        <v>12</v>
      </c>
      <c r="E11" s="1">
        <v>88</v>
      </c>
      <c r="F11" s="1" t="s">
        <v>12</v>
      </c>
      <c r="G11" s="1" t="str">
        <f t="shared" si="0"/>
        <v>SI(G28-H28=12;88;</v>
      </c>
      <c r="I11" s="1" t="s">
        <v>11</v>
      </c>
      <c r="J11" s="1" t="s">
        <v>9</v>
      </c>
      <c r="K11" s="1">
        <v>12</v>
      </c>
      <c r="L11" s="1" t="s">
        <v>12</v>
      </c>
      <c r="M11" s="1">
        <v>88</v>
      </c>
      <c r="N11" s="1" t="s">
        <v>12</v>
      </c>
      <c r="O11" s="1" t="str">
        <f t="shared" si="1"/>
        <v>SI(G28-H28=-12;88;</v>
      </c>
    </row>
    <row r="12" spans="2:15" x14ac:dyDescent="0.3">
      <c r="B12" s="1" t="s">
        <v>11</v>
      </c>
      <c r="C12" s="1">
        <v>13</v>
      </c>
      <c r="D12" s="1" t="s">
        <v>12</v>
      </c>
      <c r="E12" s="1">
        <v>87</v>
      </c>
      <c r="F12" s="1" t="s">
        <v>12</v>
      </c>
      <c r="G12" s="1" t="str">
        <f t="shared" si="0"/>
        <v>SI(G28-H28=13;87;</v>
      </c>
      <c r="I12" s="1" t="s">
        <v>11</v>
      </c>
      <c r="J12" s="1" t="s">
        <v>9</v>
      </c>
      <c r="K12" s="1">
        <v>13</v>
      </c>
      <c r="L12" s="1" t="s">
        <v>12</v>
      </c>
      <c r="M12" s="1">
        <v>87</v>
      </c>
      <c r="N12" s="1" t="s">
        <v>12</v>
      </c>
      <c r="O12" s="1" t="str">
        <f t="shared" si="1"/>
        <v>SI(G28-H28=-13;87;</v>
      </c>
    </row>
    <row r="13" spans="2:15" x14ac:dyDescent="0.3">
      <c r="B13" s="1" t="s">
        <v>11</v>
      </c>
      <c r="C13" s="1">
        <v>14</v>
      </c>
      <c r="D13" s="1" t="s">
        <v>12</v>
      </c>
      <c r="E13" s="1">
        <v>86</v>
      </c>
      <c r="F13" s="1" t="s">
        <v>12</v>
      </c>
      <c r="G13" s="1" t="str">
        <f t="shared" si="0"/>
        <v>SI(G28-H28=14;86;</v>
      </c>
      <c r="I13" s="1" t="s">
        <v>11</v>
      </c>
      <c r="J13" s="1" t="s">
        <v>9</v>
      </c>
      <c r="K13" s="1">
        <v>14</v>
      </c>
      <c r="L13" s="1" t="s">
        <v>12</v>
      </c>
      <c r="M13" s="1">
        <v>86</v>
      </c>
      <c r="N13" s="1" t="s">
        <v>12</v>
      </c>
      <c r="O13" s="1" t="str">
        <f t="shared" si="1"/>
        <v>SI(G28-H28=-14;86;</v>
      </c>
    </row>
    <row r="14" spans="2:15" x14ac:dyDescent="0.3">
      <c r="B14" s="1" t="s">
        <v>11</v>
      </c>
      <c r="C14" s="1">
        <v>15</v>
      </c>
      <c r="D14" s="1" t="s">
        <v>12</v>
      </c>
      <c r="E14" s="1">
        <v>85</v>
      </c>
      <c r="F14" s="1" t="s">
        <v>12</v>
      </c>
      <c r="G14" s="1" t="str">
        <f t="shared" si="0"/>
        <v>SI(G28-H28=15;85;</v>
      </c>
      <c r="I14" s="1" t="s">
        <v>11</v>
      </c>
      <c r="J14" s="1" t="s">
        <v>9</v>
      </c>
      <c r="K14" s="1">
        <v>15</v>
      </c>
      <c r="L14" s="1" t="s">
        <v>12</v>
      </c>
      <c r="M14" s="1">
        <v>85</v>
      </c>
      <c r="N14" s="1" t="s">
        <v>12</v>
      </c>
      <c r="O14" s="1" t="str">
        <f t="shared" si="1"/>
        <v>SI(G28-H28=-15;85;</v>
      </c>
    </row>
    <row r="15" spans="2:15" x14ac:dyDescent="0.3">
      <c r="B15" s="1" t="s">
        <v>11</v>
      </c>
      <c r="C15" s="1">
        <v>16</v>
      </c>
      <c r="D15" s="1" t="s">
        <v>12</v>
      </c>
      <c r="E15" s="1">
        <v>84</v>
      </c>
      <c r="F15" s="1" t="s">
        <v>12</v>
      </c>
      <c r="G15" s="1" t="str">
        <f t="shared" si="0"/>
        <v>SI(G28-H28=16;84;</v>
      </c>
      <c r="I15" s="1" t="s">
        <v>11</v>
      </c>
      <c r="J15" s="1" t="s">
        <v>9</v>
      </c>
      <c r="K15" s="1">
        <v>16</v>
      </c>
      <c r="L15" s="1" t="s">
        <v>12</v>
      </c>
      <c r="M15" s="1">
        <v>84</v>
      </c>
      <c r="N15" s="1" t="s">
        <v>12</v>
      </c>
      <c r="O15" s="1" t="str">
        <f t="shared" si="1"/>
        <v>SI(G28-H28=-16;84;</v>
      </c>
    </row>
    <row r="16" spans="2:15" x14ac:dyDescent="0.3">
      <c r="B16" s="1" t="s">
        <v>11</v>
      </c>
      <c r="C16" s="1">
        <v>17</v>
      </c>
      <c r="D16" s="1" t="s">
        <v>12</v>
      </c>
      <c r="E16" s="1">
        <v>83</v>
      </c>
      <c r="F16" s="1" t="s">
        <v>12</v>
      </c>
      <c r="G16" s="1" t="str">
        <f t="shared" si="0"/>
        <v>SI(G28-H28=17;83;</v>
      </c>
      <c r="I16" s="1" t="s">
        <v>11</v>
      </c>
      <c r="J16" s="1" t="s">
        <v>9</v>
      </c>
      <c r="K16" s="1">
        <v>17</v>
      </c>
      <c r="L16" s="1" t="s">
        <v>12</v>
      </c>
      <c r="M16" s="1">
        <v>83</v>
      </c>
      <c r="N16" s="1" t="s">
        <v>12</v>
      </c>
      <c r="O16" s="1" t="str">
        <f t="shared" si="1"/>
        <v>SI(G28-H28=-17;83;</v>
      </c>
    </row>
    <row r="17" spans="2:15" x14ac:dyDescent="0.3">
      <c r="B17" s="1" t="s">
        <v>11</v>
      </c>
      <c r="C17" s="1">
        <v>18</v>
      </c>
      <c r="D17" s="1" t="s">
        <v>12</v>
      </c>
      <c r="E17" s="1">
        <v>82</v>
      </c>
      <c r="F17" s="1" t="s">
        <v>12</v>
      </c>
      <c r="G17" s="1" t="str">
        <f t="shared" si="0"/>
        <v>SI(G28-H28=18;82;</v>
      </c>
      <c r="I17" s="1" t="s">
        <v>11</v>
      </c>
      <c r="J17" s="1" t="s">
        <v>9</v>
      </c>
      <c r="K17" s="1">
        <v>18</v>
      </c>
      <c r="L17" s="1" t="s">
        <v>12</v>
      </c>
      <c r="M17" s="1">
        <v>82</v>
      </c>
      <c r="N17" s="1" t="s">
        <v>12</v>
      </c>
      <c r="O17" s="1" t="str">
        <f t="shared" si="1"/>
        <v>SI(G28-H28=-18;82;</v>
      </c>
    </row>
    <row r="18" spans="2:15" x14ac:dyDescent="0.3">
      <c r="B18" s="1" t="s">
        <v>11</v>
      </c>
      <c r="C18" s="1">
        <v>19</v>
      </c>
      <c r="D18" s="1" t="s">
        <v>12</v>
      </c>
      <c r="E18" s="1">
        <v>81</v>
      </c>
      <c r="F18" s="1" t="s">
        <v>12</v>
      </c>
      <c r="G18" s="1" t="str">
        <f t="shared" si="0"/>
        <v>SI(G28-H28=19;81;</v>
      </c>
      <c r="I18" s="1" t="s">
        <v>11</v>
      </c>
      <c r="J18" s="1" t="s">
        <v>9</v>
      </c>
      <c r="K18" s="1">
        <v>19</v>
      </c>
      <c r="L18" s="1" t="s">
        <v>12</v>
      </c>
      <c r="M18" s="1">
        <v>81</v>
      </c>
      <c r="N18" s="1" t="s">
        <v>12</v>
      </c>
      <c r="O18" s="1" t="str">
        <f t="shared" si="1"/>
        <v>SI(G28-H28=-19;81;</v>
      </c>
    </row>
    <row r="19" spans="2:15" x14ac:dyDescent="0.3">
      <c r="B19" s="1" t="s">
        <v>11</v>
      </c>
      <c r="C19" s="1">
        <v>20</v>
      </c>
      <c r="D19" s="1" t="s">
        <v>12</v>
      </c>
      <c r="E19" s="1">
        <v>80</v>
      </c>
      <c r="F19" s="1" t="s">
        <v>12</v>
      </c>
      <c r="G19" s="1" t="str">
        <f t="shared" si="0"/>
        <v>SI(G28-H28=20;80;</v>
      </c>
      <c r="I19" s="1" t="s">
        <v>11</v>
      </c>
      <c r="J19" s="1" t="s">
        <v>9</v>
      </c>
      <c r="K19" s="1">
        <v>20</v>
      </c>
      <c r="L19" s="1" t="s">
        <v>12</v>
      </c>
      <c r="M19" s="1">
        <v>80</v>
      </c>
      <c r="N19" s="1" t="s">
        <v>12</v>
      </c>
      <c r="O19" s="1" t="str">
        <f t="shared" si="1"/>
        <v>SI(G28-H28=-20;80;</v>
      </c>
    </row>
    <row r="20" spans="2:15" x14ac:dyDescent="0.3">
      <c r="B20" s="1" t="s">
        <v>11</v>
      </c>
      <c r="C20" s="1">
        <v>21</v>
      </c>
      <c r="D20" s="1" t="s">
        <v>12</v>
      </c>
      <c r="E20" s="1">
        <v>79</v>
      </c>
      <c r="F20" s="1" t="s">
        <v>12</v>
      </c>
      <c r="G20" s="1" t="str">
        <f t="shared" si="0"/>
        <v>SI(G28-H28=21;79;</v>
      </c>
      <c r="I20" s="1" t="s">
        <v>11</v>
      </c>
      <c r="J20" s="1" t="s">
        <v>9</v>
      </c>
      <c r="K20" s="1">
        <v>21</v>
      </c>
      <c r="L20" s="1" t="s">
        <v>12</v>
      </c>
      <c r="M20" s="1">
        <v>79</v>
      </c>
      <c r="N20" s="1" t="s">
        <v>12</v>
      </c>
      <c r="O20" s="1" t="str">
        <f t="shared" si="1"/>
        <v>SI(G28-H28=-21;79;</v>
      </c>
    </row>
    <row r="21" spans="2:15" x14ac:dyDescent="0.3">
      <c r="B21" s="1" t="s">
        <v>11</v>
      </c>
      <c r="C21" s="1">
        <v>22</v>
      </c>
      <c r="D21" s="1" t="s">
        <v>12</v>
      </c>
      <c r="E21" s="1">
        <v>78</v>
      </c>
      <c r="F21" s="1" t="s">
        <v>12</v>
      </c>
      <c r="G21" s="1" t="str">
        <f t="shared" si="0"/>
        <v>SI(G28-H28=22;78;</v>
      </c>
      <c r="I21" s="1" t="s">
        <v>11</v>
      </c>
      <c r="J21" s="1" t="s">
        <v>9</v>
      </c>
      <c r="K21" s="1">
        <v>22</v>
      </c>
      <c r="L21" s="1" t="s">
        <v>12</v>
      </c>
      <c r="M21" s="1">
        <v>78</v>
      </c>
      <c r="N21" s="1" t="s">
        <v>12</v>
      </c>
      <c r="O21" s="1" t="str">
        <f t="shared" si="1"/>
        <v>SI(G28-H28=-22;78;</v>
      </c>
    </row>
    <row r="22" spans="2:15" x14ac:dyDescent="0.3">
      <c r="B22" s="1" t="s">
        <v>11</v>
      </c>
      <c r="C22" s="1">
        <v>23</v>
      </c>
      <c r="D22" s="1" t="s">
        <v>12</v>
      </c>
      <c r="E22" s="1">
        <v>77</v>
      </c>
      <c r="F22" s="1" t="s">
        <v>12</v>
      </c>
      <c r="G22" s="1" t="str">
        <f t="shared" si="0"/>
        <v>SI(G28-H28=23;77;</v>
      </c>
      <c r="I22" s="1" t="s">
        <v>11</v>
      </c>
      <c r="J22" s="1" t="s">
        <v>9</v>
      </c>
      <c r="K22" s="1">
        <v>23</v>
      </c>
      <c r="L22" s="1" t="s">
        <v>12</v>
      </c>
      <c r="M22" s="1">
        <v>77</v>
      </c>
      <c r="N22" s="1" t="s">
        <v>12</v>
      </c>
      <c r="O22" s="1" t="str">
        <f t="shared" si="1"/>
        <v>SI(G28-H28=-23;77;</v>
      </c>
    </row>
    <row r="23" spans="2:15" x14ac:dyDescent="0.3">
      <c r="B23" s="1" t="s">
        <v>11</v>
      </c>
      <c r="C23" s="1">
        <v>24</v>
      </c>
      <c r="D23" s="1" t="s">
        <v>12</v>
      </c>
      <c r="E23" s="1">
        <v>76</v>
      </c>
      <c r="F23" s="1" t="s">
        <v>12</v>
      </c>
      <c r="G23" s="1" t="str">
        <f t="shared" si="0"/>
        <v>SI(G28-H28=24;76;</v>
      </c>
      <c r="I23" s="1" t="s">
        <v>11</v>
      </c>
      <c r="J23" s="1" t="s">
        <v>9</v>
      </c>
      <c r="K23" s="1">
        <v>24</v>
      </c>
      <c r="L23" s="1" t="s">
        <v>12</v>
      </c>
      <c r="M23" s="1">
        <v>76</v>
      </c>
      <c r="N23" s="1" t="s">
        <v>12</v>
      </c>
      <c r="O23" s="1" t="str">
        <f t="shared" si="1"/>
        <v>SI(G28-H28=-24;76;</v>
      </c>
    </row>
    <row r="24" spans="2:15" x14ac:dyDescent="0.3">
      <c r="B24" s="1" t="s">
        <v>11</v>
      </c>
      <c r="C24" s="1">
        <v>25</v>
      </c>
      <c r="D24" s="1" t="s">
        <v>12</v>
      </c>
      <c r="E24" s="1">
        <v>75</v>
      </c>
      <c r="F24" s="1" t="s">
        <v>12</v>
      </c>
      <c r="G24" s="1" t="str">
        <f t="shared" si="0"/>
        <v>SI(G28-H28=25;75;</v>
      </c>
      <c r="I24" s="1" t="s">
        <v>11</v>
      </c>
      <c r="J24" s="1" t="s">
        <v>9</v>
      </c>
      <c r="K24" s="1">
        <v>25</v>
      </c>
      <c r="L24" s="1" t="s">
        <v>12</v>
      </c>
      <c r="M24" s="1">
        <v>75</v>
      </c>
      <c r="N24" s="1" t="s">
        <v>12</v>
      </c>
      <c r="O24" s="1" t="str">
        <f t="shared" si="1"/>
        <v>SI(G28-H28=-25;75;</v>
      </c>
    </row>
    <row r="25" spans="2:15" x14ac:dyDescent="0.3">
      <c r="B25" s="1" t="s">
        <v>11</v>
      </c>
      <c r="C25" s="1">
        <v>26</v>
      </c>
      <c r="D25" s="1" t="s">
        <v>12</v>
      </c>
      <c r="E25" s="1">
        <v>74</v>
      </c>
      <c r="F25" s="1" t="s">
        <v>12</v>
      </c>
      <c r="G25" s="1" t="str">
        <f t="shared" si="0"/>
        <v>SI(G28-H28=26;74;</v>
      </c>
      <c r="I25" s="1" t="s">
        <v>11</v>
      </c>
      <c r="J25" s="1" t="s">
        <v>9</v>
      </c>
      <c r="K25" s="1">
        <v>26</v>
      </c>
      <c r="L25" s="1" t="s">
        <v>12</v>
      </c>
      <c r="M25" s="1">
        <v>74</v>
      </c>
      <c r="N25" s="1" t="s">
        <v>12</v>
      </c>
      <c r="O25" s="1" t="str">
        <f t="shared" si="1"/>
        <v>SI(G28-H28=-26;74;</v>
      </c>
    </row>
    <row r="26" spans="2:15" x14ac:dyDescent="0.3">
      <c r="B26" s="1" t="s">
        <v>11</v>
      </c>
      <c r="C26" s="1">
        <v>27</v>
      </c>
      <c r="D26" s="1" t="s">
        <v>12</v>
      </c>
      <c r="E26" s="1">
        <v>73</v>
      </c>
      <c r="F26" s="1" t="s">
        <v>12</v>
      </c>
      <c r="G26" s="1" t="str">
        <f t="shared" si="0"/>
        <v>SI(G28-H28=27;73;</v>
      </c>
      <c r="I26" s="1" t="s">
        <v>11</v>
      </c>
      <c r="J26" s="1" t="s">
        <v>9</v>
      </c>
      <c r="K26" s="1">
        <v>27</v>
      </c>
      <c r="L26" s="1" t="s">
        <v>12</v>
      </c>
      <c r="M26" s="1">
        <v>73</v>
      </c>
      <c r="N26" s="1" t="s">
        <v>12</v>
      </c>
      <c r="O26" s="1" t="str">
        <f t="shared" si="1"/>
        <v>SI(G28-H28=-27;73;</v>
      </c>
    </row>
    <row r="27" spans="2:15" x14ac:dyDescent="0.3">
      <c r="B27" s="1" t="s">
        <v>11</v>
      </c>
      <c r="C27" s="1">
        <v>28</v>
      </c>
      <c r="D27" s="1" t="s">
        <v>12</v>
      </c>
      <c r="E27" s="1">
        <v>72</v>
      </c>
      <c r="F27" s="1" t="s">
        <v>12</v>
      </c>
      <c r="G27" s="1" t="str">
        <f t="shared" si="0"/>
        <v>SI(G28-H28=28;72;</v>
      </c>
      <c r="I27" s="1" t="s">
        <v>11</v>
      </c>
      <c r="J27" s="1" t="s">
        <v>9</v>
      </c>
      <c r="K27" s="1">
        <v>28</v>
      </c>
      <c r="L27" s="1" t="s">
        <v>12</v>
      </c>
      <c r="M27" s="1">
        <v>72</v>
      </c>
      <c r="N27" s="1" t="s">
        <v>12</v>
      </c>
      <c r="O27" s="1" t="str">
        <f t="shared" si="1"/>
        <v>SI(G28-H28=-28;72;</v>
      </c>
    </row>
    <row r="28" spans="2:15" x14ac:dyDescent="0.3">
      <c r="B28" s="1" t="s">
        <v>11</v>
      </c>
      <c r="C28" s="1">
        <v>29</v>
      </c>
      <c r="D28" s="1" t="s">
        <v>12</v>
      </c>
      <c r="E28" s="1">
        <v>71</v>
      </c>
      <c r="F28" s="1" t="s">
        <v>12</v>
      </c>
      <c r="G28" s="1" t="str">
        <f t="shared" si="0"/>
        <v>SI(G28-H28=29;71;</v>
      </c>
      <c r="I28" s="1" t="s">
        <v>11</v>
      </c>
      <c r="J28" s="1" t="s">
        <v>9</v>
      </c>
      <c r="K28" s="1">
        <v>29</v>
      </c>
      <c r="L28" s="1" t="s">
        <v>12</v>
      </c>
      <c r="M28" s="1">
        <v>71</v>
      </c>
      <c r="N28" s="1" t="s">
        <v>12</v>
      </c>
      <c r="O28" s="1" t="str">
        <f t="shared" si="1"/>
        <v>SI(G28-H28=-29;71;</v>
      </c>
    </row>
    <row r="29" spans="2:15" x14ac:dyDescent="0.3">
      <c r="B29" s="1" t="s">
        <v>11</v>
      </c>
      <c r="C29" s="1">
        <v>30</v>
      </c>
      <c r="D29" s="1" t="s">
        <v>12</v>
      </c>
      <c r="E29" s="1">
        <v>70</v>
      </c>
      <c r="F29" s="1" t="s">
        <v>12</v>
      </c>
      <c r="G29" s="1" t="str">
        <f t="shared" si="0"/>
        <v>SI(G28-H28=30;70;</v>
      </c>
      <c r="I29" s="1" t="s">
        <v>11</v>
      </c>
      <c r="J29" s="1" t="s">
        <v>9</v>
      </c>
      <c r="K29" s="1">
        <v>30</v>
      </c>
      <c r="L29" s="1" t="s">
        <v>12</v>
      </c>
      <c r="M29" s="1">
        <v>70</v>
      </c>
      <c r="N29" s="1" t="s">
        <v>12</v>
      </c>
      <c r="O29" s="1" t="str">
        <f t="shared" si="1"/>
        <v>SI(G28-H28=-30;70;</v>
      </c>
    </row>
    <row r="30" spans="2:15" x14ac:dyDescent="0.3">
      <c r="B30" s="1" t="s">
        <v>11</v>
      </c>
      <c r="C30" s="1">
        <v>31</v>
      </c>
      <c r="D30" s="1" t="s">
        <v>12</v>
      </c>
      <c r="E30" s="1">
        <v>69</v>
      </c>
      <c r="F30" s="1" t="s">
        <v>12</v>
      </c>
      <c r="G30" s="1" t="str">
        <f t="shared" si="0"/>
        <v>SI(G28-H28=31;69;</v>
      </c>
      <c r="I30" s="1" t="s">
        <v>11</v>
      </c>
      <c r="J30" s="1" t="s">
        <v>9</v>
      </c>
      <c r="K30" s="1">
        <v>31</v>
      </c>
      <c r="L30" s="1" t="s">
        <v>12</v>
      </c>
      <c r="M30" s="1">
        <v>69</v>
      </c>
      <c r="N30" s="1" t="s">
        <v>12</v>
      </c>
      <c r="O30" s="1" t="str">
        <f t="shared" si="1"/>
        <v>SI(G28-H28=-31;69;</v>
      </c>
    </row>
    <row r="31" spans="2:15" x14ac:dyDescent="0.3">
      <c r="B31" s="1" t="s">
        <v>11</v>
      </c>
      <c r="C31" s="1">
        <v>32</v>
      </c>
      <c r="D31" s="1" t="s">
        <v>12</v>
      </c>
      <c r="E31" s="1">
        <v>68</v>
      </c>
      <c r="F31" s="1" t="s">
        <v>12</v>
      </c>
      <c r="G31" s="1" t="str">
        <f t="shared" si="0"/>
        <v>SI(G28-H28=32;68;</v>
      </c>
      <c r="I31" s="1" t="s">
        <v>11</v>
      </c>
      <c r="J31" s="1" t="s">
        <v>9</v>
      </c>
      <c r="K31" s="1">
        <v>32</v>
      </c>
      <c r="L31" s="1" t="s">
        <v>12</v>
      </c>
      <c r="M31" s="1">
        <v>68</v>
      </c>
      <c r="N31" s="1" t="s">
        <v>12</v>
      </c>
      <c r="O31" s="1" t="str">
        <f t="shared" si="1"/>
        <v>SI(G28-H28=-32;68;</v>
      </c>
    </row>
    <row r="32" spans="2:15" x14ac:dyDescent="0.3">
      <c r="B32" s="1" t="s">
        <v>11</v>
      </c>
      <c r="C32" s="1">
        <v>33</v>
      </c>
      <c r="D32" s="1" t="s">
        <v>12</v>
      </c>
      <c r="E32" s="1">
        <v>67</v>
      </c>
      <c r="F32" s="1" t="s">
        <v>12</v>
      </c>
      <c r="G32" s="1" t="str">
        <f t="shared" si="0"/>
        <v>SI(G28-H28=33;67;</v>
      </c>
      <c r="I32" s="1" t="s">
        <v>11</v>
      </c>
      <c r="J32" s="1" t="s">
        <v>9</v>
      </c>
      <c r="K32" s="1">
        <v>33</v>
      </c>
      <c r="L32" s="1" t="s">
        <v>12</v>
      </c>
      <c r="M32" s="1">
        <v>67</v>
      </c>
      <c r="N32" s="1" t="s">
        <v>12</v>
      </c>
      <c r="O32" s="1" t="str">
        <f t="shared" si="1"/>
        <v>SI(G28-H28=-33;67;</v>
      </c>
    </row>
    <row r="33" spans="2:15" x14ac:dyDescent="0.3">
      <c r="B33" s="1" t="s">
        <v>11</v>
      </c>
      <c r="C33" s="1">
        <v>34</v>
      </c>
      <c r="D33" s="1" t="s">
        <v>12</v>
      </c>
      <c r="E33" s="1">
        <v>66</v>
      </c>
      <c r="F33" s="1" t="s">
        <v>12</v>
      </c>
      <c r="G33" s="1" t="str">
        <f t="shared" si="0"/>
        <v>SI(G28-H28=34;66;</v>
      </c>
      <c r="I33" s="1" t="s">
        <v>11</v>
      </c>
      <c r="J33" s="1" t="s">
        <v>9</v>
      </c>
      <c r="K33" s="1">
        <v>34</v>
      </c>
      <c r="L33" s="1" t="s">
        <v>12</v>
      </c>
      <c r="M33" s="1">
        <v>66</v>
      </c>
      <c r="N33" s="1" t="s">
        <v>12</v>
      </c>
      <c r="O33" s="1" t="str">
        <f t="shared" si="1"/>
        <v>SI(G28-H28=-34;66;</v>
      </c>
    </row>
    <row r="34" spans="2:15" x14ac:dyDescent="0.3">
      <c r="B34" s="1" t="s">
        <v>11</v>
      </c>
      <c r="C34" s="1">
        <v>35</v>
      </c>
      <c r="D34" s="1" t="s">
        <v>12</v>
      </c>
      <c r="E34" s="1">
        <v>65</v>
      </c>
      <c r="F34" s="1" t="s">
        <v>12</v>
      </c>
      <c r="G34" s="1" t="str">
        <f t="shared" si="0"/>
        <v>SI(G28-H28=35;65;</v>
      </c>
      <c r="I34" s="1" t="s">
        <v>11</v>
      </c>
      <c r="J34" s="1" t="s">
        <v>9</v>
      </c>
      <c r="K34" s="1">
        <v>35</v>
      </c>
      <c r="L34" s="1" t="s">
        <v>12</v>
      </c>
      <c r="M34" s="1">
        <v>65</v>
      </c>
      <c r="N34" s="1" t="s">
        <v>12</v>
      </c>
      <c r="O34" s="1" t="str">
        <f t="shared" si="1"/>
        <v>SI(G28-H28=-35;65;</v>
      </c>
    </row>
    <row r="35" spans="2:15" x14ac:dyDescent="0.3">
      <c r="B35" s="1" t="s">
        <v>11</v>
      </c>
      <c r="C35" s="1">
        <v>36</v>
      </c>
      <c r="D35" s="1" t="s">
        <v>12</v>
      </c>
      <c r="E35" s="1">
        <v>64</v>
      </c>
      <c r="F35" s="1" t="s">
        <v>12</v>
      </c>
      <c r="G35" s="1" t="str">
        <f t="shared" si="0"/>
        <v>SI(G28-H28=36;64;</v>
      </c>
      <c r="I35" s="1" t="s">
        <v>11</v>
      </c>
      <c r="J35" s="1" t="s">
        <v>9</v>
      </c>
      <c r="K35" s="1">
        <v>36</v>
      </c>
      <c r="L35" s="1" t="s">
        <v>12</v>
      </c>
      <c r="M35" s="1">
        <v>64</v>
      </c>
      <c r="N35" s="1" t="s">
        <v>12</v>
      </c>
      <c r="O35" s="1" t="str">
        <f t="shared" si="1"/>
        <v>SI(G28-H28=-36;64;</v>
      </c>
    </row>
    <row r="36" spans="2:15" x14ac:dyDescent="0.3">
      <c r="B36" s="1" t="s">
        <v>11</v>
      </c>
      <c r="C36" s="1">
        <v>37</v>
      </c>
      <c r="D36" s="1" t="s">
        <v>12</v>
      </c>
      <c r="E36" s="1">
        <v>63</v>
      </c>
      <c r="F36" s="1" t="s">
        <v>12</v>
      </c>
      <c r="G36" s="1" t="str">
        <f t="shared" si="0"/>
        <v>SI(G28-H28=37;63;</v>
      </c>
      <c r="I36" s="1" t="s">
        <v>11</v>
      </c>
      <c r="J36" s="1" t="s">
        <v>9</v>
      </c>
      <c r="K36" s="1">
        <v>37</v>
      </c>
      <c r="L36" s="1" t="s">
        <v>12</v>
      </c>
      <c r="M36" s="1">
        <v>63</v>
      </c>
      <c r="N36" s="1" t="s">
        <v>12</v>
      </c>
      <c r="O36" s="1" t="str">
        <f t="shared" si="1"/>
        <v>SI(G28-H28=-37;63;</v>
      </c>
    </row>
    <row r="37" spans="2:15" x14ac:dyDescent="0.3">
      <c r="B37" s="1" t="s">
        <v>11</v>
      </c>
      <c r="C37" s="1">
        <v>38</v>
      </c>
      <c r="D37" s="1" t="s">
        <v>12</v>
      </c>
      <c r="E37" s="1">
        <v>62</v>
      </c>
      <c r="F37" s="1" t="s">
        <v>12</v>
      </c>
      <c r="G37" s="1" t="str">
        <f t="shared" si="0"/>
        <v>SI(G28-H28=38;62;</v>
      </c>
      <c r="I37" s="1" t="s">
        <v>11</v>
      </c>
      <c r="J37" s="1" t="s">
        <v>9</v>
      </c>
      <c r="K37" s="1">
        <v>38</v>
      </c>
      <c r="L37" s="1" t="s">
        <v>12</v>
      </c>
      <c r="M37" s="1">
        <v>62</v>
      </c>
      <c r="N37" s="1" t="s">
        <v>12</v>
      </c>
      <c r="O37" s="1" t="str">
        <f t="shared" si="1"/>
        <v>SI(G28-H28=-38;62;</v>
      </c>
    </row>
    <row r="38" spans="2:15" x14ac:dyDescent="0.3">
      <c r="B38" s="1" t="s">
        <v>11</v>
      </c>
      <c r="C38" s="1">
        <v>39</v>
      </c>
      <c r="D38" s="1" t="s">
        <v>12</v>
      </c>
      <c r="E38" s="1">
        <v>61</v>
      </c>
      <c r="F38" s="1" t="s">
        <v>12</v>
      </c>
      <c r="G38" s="1" t="str">
        <f t="shared" si="0"/>
        <v>SI(G28-H28=39;61;</v>
      </c>
      <c r="I38" s="1" t="s">
        <v>11</v>
      </c>
      <c r="J38" s="1" t="s">
        <v>9</v>
      </c>
      <c r="K38" s="1">
        <v>39</v>
      </c>
      <c r="L38" s="1" t="s">
        <v>12</v>
      </c>
      <c r="M38" s="1">
        <v>61</v>
      </c>
      <c r="N38" s="1" t="s">
        <v>12</v>
      </c>
      <c r="O38" s="1" t="str">
        <f t="shared" si="1"/>
        <v>SI(G28-H28=-39;61;</v>
      </c>
    </row>
    <row r="39" spans="2:15" x14ac:dyDescent="0.3">
      <c r="B39" s="1" t="s">
        <v>11</v>
      </c>
      <c r="C39" s="1">
        <v>40</v>
      </c>
      <c r="D39" s="1" t="s">
        <v>12</v>
      </c>
      <c r="E39" s="1">
        <v>60</v>
      </c>
      <c r="F39" s="1" t="s">
        <v>12</v>
      </c>
      <c r="G39" s="1" t="str">
        <f t="shared" si="0"/>
        <v>SI(G28-H28=40;60;</v>
      </c>
      <c r="I39" s="1" t="s">
        <v>11</v>
      </c>
      <c r="J39" s="1" t="s">
        <v>9</v>
      </c>
      <c r="K39" s="1">
        <v>40</v>
      </c>
      <c r="L39" s="1" t="s">
        <v>12</v>
      </c>
      <c r="M39" s="1">
        <v>60</v>
      </c>
      <c r="N39" s="1" t="s">
        <v>12</v>
      </c>
      <c r="O39" s="1" t="str">
        <f t="shared" si="1"/>
        <v>SI(G28-H28=-40;60;</v>
      </c>
    </row>
    <row r="40" spans="2:15" x14ac:dyDescent="0.3">
      <c r="B40" s="1" t="s">
        <v>11</v>
      </c>
      <c r="C40" s="1">
        <v>41</v>
      </c>
      <c r="D40" s="1" t="s">
        <v>12</v>
      </c>
      <c r="E40" s="1">
        <v>59</v>
      </c>
      <c r="F40" s="1" t="s">
        <v>12</v>
      </c>
      <c r="G40" s="1" t="str">
        <f t="shared" si="0"/>
        <v>SI(G28-H28=41;59;</v>
      </c>
      <c r="I40" s="1" t="s">
        <v>11</v>
      </c>
      <c r="J40" s="1" t="s">
        <v>9</v>
      </c>
      <c r="K40" s="1">
        <v>41</v>
      </c>
      <c r="L40" s="1" t="s">
        <v>12</v>
      </c>
      <c r="M40" s="1">
        <v>59</v>
      </c>
      <c r="N40" s="1" t="s">
        <v>12</v>
      </c>
      <c r="O40" s="1" t="str">
        <f t="shared" si="1"/>
        <v>SI(G28-H28=-41;59;</v>
      </c>
    </row>
    <row r="41" spans="2:15" x14ac:dyDescent="0.3">
      <c r="B41" s="1" t="s">
        <v>11</v>
      </c>
      <c r="C41" s="1">
        <v>42</v>
      </c>
      <c r="D41" s="1" t="s">
        <v>12</v>
      </c>
      <c r="E41" s="1">
        <v>58</v>
      </c>
      <c r="F41" s="1" t="s">
        <v>12</v>
      </c>
      <c r="G41" s="1" t="str">
        <f t="shared" si="0"/>
        <v>SI(G28-H28=42;58;</v>
      </c>
      <c r="I41" s="1" t="s">
        <v>11</v>
      </c>
      <c r="J41" s="1" t="s">
        <v>9</v>
      </c>
      <c r="K41" s="1">
        <v>42</v>
      </c>
      <c r="L41" s="1" t="s">
        <v>12</v>
      </c>
      <c r="M41" s="1">
        <v>58</v>
      </c>
      <c r="N41" s="1" t="s">
        <v>12</v>
      </c>
      <c r="O41" s="1" t="str">
        <f t="shared" si="1"/>
        <v>SI(G28-H28=-42;58;</v>
      </c>
    </row>
    <row r="42" spans="2:15" x14ac:dyDescent="0.3">
      <c r="B42" s="1" t="s">
        <v>11</v>
      </c>
      <c r="C42" s="1">
        <v>43</v>
      </c>
      <c r="D42" s="1" t="s">
        <v>12</v>
      </c>
      <c r="E42" s="1">
        <v>57</v>
      </c>
      <c r="F42" s="1" t="s">
        <v>12</v>
      </c>
      <c r="G42" s="1" t="str">
        <f t="shared" si="0"/>
        <v>SI(G28-H28=43;57;</v>
      </c>
      <c r="I42" s="1" t="s">
        <v>11</v>
      </c>
      <c r="J42" s="1" t="s">
        <v>9</v>
      </c>
      <c r="K42" s="1">
        <v>43</v>
      </c>
      <c r="L42" s="1" t="s">
        <v>12</v>
      </c>
      <c r="M42" s="1">
        <v>57</v>
      </c>
      <c r="N42" s="1" t="s">
        <v>12</v>
      </c>
      <c r="O42" s="1" t="str">
        <f t="shared" si="1"/>
        <v>SI(G28-H28=-43;57;</v>
      </c>
    </row>
    <row r="43" spans="2:15" x14ac:dyDescent="0.3">
      <c r="B43" s="1" t="s">
        <v>11</v>
      </c>
      <c r="C43" s="1">
        <v>44</v>
      </c>
      <c r="D43" s="1" t="s">
        <v>12</v>
      </c>
      <c r="E43" s="1">
        <v>56</v>
      </c>
      <c r="F43" s="1" t="s">
        <v>12</v>
      </c>
      <c r="G43" s="1" t="str">
        <f t="shared" si="0"/>
        <v>SI(G28-H28=44;56;</v>
      </c>
      <c r="I43" s="1" t="s">
        <v>11</v>
      </c>
      <c r="J43" s="1" t="s">
        <v>9</v>
      </c>
      <c r="K43" s="1">
        <v>44</v>
      </c>
      <c r="L43" s="1" t="s">
        <v>12</v>
      </c>
      <c r="M43" s="1">
        <v>56</v>
      </c>
      <c r="N43" s="1" t="s">
        <v>12</v>
      </c>
      <c r="O43" s="1" t="str">
        <f t="shared" si="1"/>
        <v>SI(G28-H28=-44;56;</v>
      </c>
    </row>
    <row r="44" spans="2:15" x14ac:dyDescent="0.3">
      <c r="B44" s="1" t="s">
        <v>11</v>
      </c>
      <c r="C44" s="1">
        <v>45</v>
      </c>
      <c r="D44" s="1" t="s">
        <v>12</v>
      </c>
      <c r="E44" s="1">
        <v>55</v>
      </c>
      <c r="F44" s="1" t="s">
        <v>12</v>
      </c>
      <c r="G44" s="1" t="str">
        <f t="shared" si="0"/>
        <v>SI(G28-H28=45;55;</v>
      </c>
      <c r="I44" s="1" t="s">
        <v>11</v>
      </c>
      <c r="J44" s="1" t="s">
        <v>9</v>
      </c>
      <c r="K44" s="1">
        <v>45</v>
      </c>
      <c r="L44" s="1" t="s">
        <v>12</v>
      </c>
      <c r="M44" s="1">
        <v>55</v>
      </c>
      <c r="N44" s="1" t="s">
        <v>12</v>
      </c>
      <c r="O44" s="1" t="str">
        <f t="shared" si="1"/>
        <v>SI(G28-H28=-45;55;</v>
      </c>
    </row>
    <row r="45" spans="2:15" x14ac:dyDescent="0.3">
      <c r="B45" s="1" t="s">
        <v>11</v>
      </c>
      <c r="C45" s="1">
        <v>46</v>
      </c>
      <c r="D45" s="1" t="s">
        <v>12</v>
      </c>
      <c r="E45" s="1">
        <v>54</v>
      </c>
      <c r="F45" s="1" t="s">
        <v>12</v>
      </c>
      <c r="G45" s="1" t="str">
        <f t="shared" si="0"/>
        <v>SI(G28-H28=46;54;</v>
      </c>
      <c r="I45" s="1" t="s">
        <v>11</v>
      </c>
      <c r="J45" s="1" t="s">
        <v>9</v>
      </c>
      <c r="K45" s="1">
        <v>46</v>
      </c>
      <c r="L45" s="1" t="s">
        <v>12</v>
      </c>
      <c r="M45" s="1">
        <v>54</v>
      </c>
      <c r="N45" s="1" t="s">
        <v>12</v>
      </c>
      <c r="O45" s="1" t="str">
        <f t="shared" si="1"/>
        <v>SI(G28-H28=-46;54;</v>
      </c>
    </row>
    <row r="46" spans="2:15" x14ac:dyDescent="0.3">
      <c r="B46" s="1" t="s">
        <v>11</v>
      </c>
      <c r="C46" s="1">
        <v>47</v>
      </c>
      <c r="D46" s="1" t="s">
        <v>12</v>
      </c>
      <c r="E46" s="1">
        <v>53</v>
      </c>
      <c r="F46" s="1" t="s">
        <v>12</v>
      </c>
      <c r="G46" s="1" t="str">
        <f t="shared" si="0"/>
        <v>SI(G28-H28=47;53;</v>
      </c>
      <c r="I46" s="1" t="s">
        <v>11</v>
      </c>
      <c r="J46" s="1" t="s">
        <v>9</v>
      </c>
      <c r="K46" s="1">
        <v>47</v>
      </c>
      <c r="L46" s="1" t="s">
        <v>12</v>
      </c>
      <c r="M46" s="1">
        <v>53</v>
      </c>
      <c r="N46" s="1" t="s">
        <v>12</v>
      </c>
      <c r="O46" s="1" t="str">
        <f t="shared" si="1"/>
        <v>SI(G28-H28=-47;53;</v>
      </c>
    </row>
    <row r="47" spans="2:15" x14ac:dyDescent="0.3">
      <c r="B47" s="1" t="s">
        <v>11</v>
      </c>
      <c r="C47" s="1">
        <v>48</v>
      </c>
      <c r="D47" s="1" t="s">
        <v>12</v>
      </c>
      <c r="E47" s="1">
        <v>52</v>
      </c>
      <c r="F47" s="1" t="s">
        <v>12</v>
      </c>
      <c r="G47" s="1" t="str">
        <f t="shared" si="0"/>
        <v>SI(G28-H28=48;52;</v>
      </c>
      <c r="I47" s="1" t="s">
        <v>11</v>
      </c>
      <c r="J47" s="1" t="s">
        <v>9</v>
      </c>
      <c r="K47" s="1">
        <v>48</v>
      </c>
      <c r="L47" s="1" t="s">
        <v>12</v>
      </c>
      <c r="M47" s="1">
        <v>52</v>
      </c>
      <c r="N47" s="1" t="s">
        <v>12</v>
      </c>
      <c r="O47" s="1" t="str">
        <f t="shared" si="1"/>
        <v>SI(G28-H28=-48;52;</v>
      </c>
    </row>
    <row r="48" spans="2:15" x14ac:dyDescent="0.3">
      <c r="B48" s="1" t="s">
        <v>11</v>
      </c>
      <c r="C48" s="1">
        <v>49</v>
      </c>
      <c r="D48" s="1" t="s">
        <v>12</v>
      </c>
      <c r="E48" s="1">
        <v>51</v>
      </c>
      <c r="F48" s="1" t="s">
        <v>12</v>
      </c>
      <c r="G48" s="1" t="str">
        <f t="shared" si="0"/>
        <v>SI(G28-H28=49;51;</v>
      </c>
      <c r="I48" s="1" t="s">
        <v>11</v>
      </c>
      <c r="J48" s="1" t="s">
        <v>9</v>
      </c>
      <c r="K48" s="1">
        <v>49</v>
      </c>
      <c r="L48" s="1" t="s">
        <v>12</v>
      </c>
      <c r="M48" s="1">
        <v>51</v>
      </c>
      <c r="N48" s="1" t="s">
        <v>12</v>
      </c>
      <c r="O48" s="1" t="str">
        <f t="shared" si="1"/>
        <v>SI(G28-H28=-49;51;</v>
      </c>
    </row>
    <row r="49" spans="2:15" x14ac:dyDescent="0.3">
      <c r="B49" s="1" t="s">
        <v>11</v>
      </c>
      <c r="C49" s="1">
        <v>50</v>
      </c>
      <c r="D49" s="1" t="s">
        <v>12</v>
      </c>
      <c r="E49" s="1">
        <v>50</v>
      </c>
      <c r="F49" s="1" t="s">
        <v>12</v>
      </c>
      <c r="G49" s="1" t="str">
        <f t="shared" si="0"/>
        <v>SI(G28-H28=50;50;</v>
      </c>
      <c r="I49" s="1" t="s">
        <v>11</v>
      </c>
      <c r="J49" s="1" t="s">
        <v>9</v>
      </c>
      <c r="K49" s="1">
        <v>50</v>
      </c>
      <c r="L49" s="1" t="s">
        <v>12</v>
      </c>
      <c r="M49" s="1">
        <v>50</v>
      </c>
      <c r="N49" s="1" t="s">
        <v>12</v>
      </c>
      <c r="O49" s="1" t="str">
        <f t="shared" si="1"/>
        <v>SI(G28-H28=-50;50;</v>
      </c>
    </row>
    <row r="50" spans="2:15" x14ac:dyDescent="0.3">
      <c r="B50" s="1" t="s">
        <v>11</v>
      </c>
      <c r="C50" s="1">
        <v>51</v>
      </c>
      <c r="D50" s="1" t="s">
        <v>12</v>
      </c>
      <c r="E50" s="1">
        <v>49</v>
      </c>
      <c r="F50" s="1" t="s">
        <v>12</v>
      </c>
      <c r="G50" s="1" t="str">
        <f t="shared" si="0"/>
        <v>SI(G28-H28=51;49;</v>
      </c>
      <c r="I50" s="1" t="s">
        <v>11</v>
      </c>
      <c r="J50" s="1" t="s">
        <v>9</v>
      </c>
      <c r="K50" s="1">
        <v>51</v>
      </c>
      <c r="L50" s="1" t="s">
        <v>12</v>
      </c>
      <c r="M50" s="1">
        <v>49</v>
      </c>
      <c r="N50" s="1" t="s">
        <v>12</v>
      </c>
      <c r="O50" s="1" t="str">
        <f t="shared" si="1"/>
        <v>SI(G28-H28=-51;49;</v>
      </c>
    </row>
    <row r="51" spans="2:15" x14ac:dyDescent="0.3">
      <c r="B51" s="1" t="s">
        <v>11</v>
      </c>
      <c r="C51" s="1">
        <v>52</v>
      </c>
      <c r="D51" s="1" t="s">
        <v>12</v>
      </c>
      <c r="E51" s="1">
        <v>48</v>
      </c>
      <c r="F51" s="1" t="s">
        <v>12</v>
      </c>
      <c r="G51" s="1" t="str">
        <f t="shared" si="0"/>
        <v>SI(G28-H28=52;48;</v>
      </c>
      <c r="I51" s="1" t="s">
        <v>11</v>
      </c>
      <c r="J51" s="1" t="s">
        <v>9</v>
      </c>
      <c r="K51" s="1">
        <v>52</v>
      </c>
      <c r="L51" s="1" t="s">
        <v>12</v>
      </c>
      <c r="M51" s="1">
        <v>48</v>
      </c>
      <c r="N51" s="1" t="s">
        <v>12</v>
      </c>
      <c r="O51" s="1" t="str">
        <f t="shared" si="1"/>
        <v>SI(G28-H28=-52;48;</v>
      </c>
    </row>
    <row r="52" spans="2:15" x14ac:dyDescent="0.3">
      <c r="B52" s="1" t="s">
        <v>11</v>
      </c>
      <c r="C52" s="1">
        <v>53</v>
      </c>
      <c r="D52" s="1" t="s">
        <v>12</v>
      </c>
      <c r="E52" s="1">
        <v>47</v>
      </c>
      <c r="F52" s="1" t="s">
        <v>12</v>
      </c>
      <c r="G52" s="1" t="str">
        <f t="shared" si="0"/>
        <v>SI(G28-H28=53;47;</v>
      </c>
      <c r="I52" s="1" t="s">
        <v>11</v>
      </c>
      <c r="J52" s="1" t="s">
        <v>9</v>
      </c>
      <c r="K52" s="1">
        <v>53</v>
      </c>
      <c r="L52" s="1" t="s">
        <v>12</v>
      </c>
      <c r="M52" s="1">
        <v>47</v>
      </c>
      <c r="N52" s="1" t="s">
        <v>12</v>
      </c>
      <c r="O52" s="1" t="str">
        <f t="shared" si="1"/>
        <v>SI(G28-H28=-53;47;</v>
      </c>
    </row>
    <row r="53" spans="2:15" x14ac:dyDescent="0.3">
      <c r="B53" s="1" t="s">
        <v>11</v>
      </c>
      <c r="C53" s="1">
        <v>54</v>
      </c>
      <c r="D53" s="1" t="s">
        <v>12</v>
      </c>
      <c r="E53" s="1">
        <v>46</v>
      </c>
      <c r="F53" s="1" t="s">
        <v>12</v>
      </c>
      <c r="G53" s="1" t="str">
        <f t="shared" si="0"/>
        <v>SI(G28-H28=54;46;</v>
      </c>
      <c r="I53" s="1" t="s">
        <v>11</v>
      </c>
      <c r="J53" s="1" t="s">
        <v>9</v>
      </c>
      <c r="K53" s="1">
        <v>54</v>
      </c>
      <c r="L53" s="1" t="s">
        <v>12</v>
      </c>
      <c r="M53" s="1">
        <v>46</v>
      </c>
      <c r="N53" s="1" t="s">
        <v>12</v>
      </c>
      <c r="O53" s="1" t="str">
        <f t="shared" si="1"/>
        <v>SI(G28-H28=-54;46;</v>
      </c>
    </row>
    <row r="54" spans="2:15" x14ac:dyDescent="0.3">
      <c r="B54" s="1" t="s">
        <v>11</v>
      </c>
      <c r="C54" s="1">
        <v>55</v>
      </c>
      <c r="D54" s="1" t="s">
        <v>12</v>
      </c>
      <c r="E54" s="1">
        <v>45</v>
      </c>
      <c r="F54" s="1" t="s">
        <v>12</v>
      </c>
      <c r="G54" s="1" t="str">
        <f t="shared" si="0"/>
        <v>SI(G28-H28=55;45;</v>
      </c>
      <c r="I54" s="1" t="s">
        <v>11</v>
      </c>
      <c r="J54" s="1" t="s">
        <v>9</v>
      </c>
      <c r="K54" s="1">
        <v>55</v>
      </c>
      <c r="L54" s="1" t="s">
        <v>12</v>
      </c>
      <c r="M54" s="1">
        <v>45</v>
      </c>
      <c r="N54" s="1" t="s">
        <v>12</v>
      </c>
      <c r="O54" s="1" t="str">
        <f t="shared" si="1"/>
        <v>SI(G28-H28=-55;45;</v>
      </c>
    </row>
    <row r="55" spans="2:15" x14ac:dyDescent="0.3">
      <c r="B55" s="1" t="s">
        <v>11</v>
      </c>
      <c r="C55" s="1">
        <v>56</v>
      </c>
      <c r="D55" s="1" t="s">
        <v>12</v>
      </c>
      <c r="E55" s="1">
        <v>44</v>
      </c>
      <c r="F55" s="1" t="s">
        <v>12</v>
      </c>
      <c r="G55" s="1" t="str">
        <f t="shared" si="0"/>
        <v>SI(G28-H28=56;44;</v>
      </c>
      <c r="I55" s="1" t="s">
        <v>11</v>
      </c>
      <c r="J55" s="1" t="s">
        <v>9</v>
      </c>
      <c r="K55" s="1">
        <v>56</v>
      </c>
      <c r="L55" s="1" t="s">
        <v>12</v>
      </c>
      <c r="M55" s="1">
        <v>44</v>
      </c>
      <c r="N55" s="1" t="s">
        <v>12</v>
      </c>
      <c r="O55" s="1" t="str">
        <f t="shared" si="1"/>
        <v>SI(G28-H28=-56;44;</v>
      </c>
    </row>
    <row r="56" spans="2:15" x14ac:dyDescent="0.3">
      <c r="B56" s="1" t="s">
        <v>11</v>
      </c>
      <c r="C56" s="1">
        <v>57</v>
      </c>
      <c r="D56" s="1" t="s">
        <v>12</v>
      </c>
      <c r="E56" s="1">
        <v>43</v>
      </c>
      <c r="F56" s="1" t="s">
        <v>12</v>
      </c>
      <c r="G56" s="1" t="str">
        <f t="shared" si="0"/>
        <v>SI(G28-H28=57;43;</v>
      </c>
      <c r="I56" s="1" t="s">
        <v>11</v>
      </c>
      <c r="J56" s="1" t="s">
        <v>9</v>
      </c>
      <c r="K56" s="1">
        <v>57</v>
      </c>
      <c r="L56" s="1" t="s">
        <v>12</v>
      </c>
      <c r="M56" s="1">
        <v>43</v>
      </c>
      <c r="N56" s="1" t="s">
        <v>12</v>
      </c>
      <c r="O56" s="1" t="str">
        <f t="shared" si="1"/>
        <v>SI(G28-H28=-57;43;</v>
      </c>
    </row>
    <row r="57" spans="2:15" x14ac:dyDescent="0.3">
      <c r="B57" s="1" t="s">
        <v>11</v>
      </c>
      <c r="C57" s="1">
        <v>58</v>
      </c>
      <c r="D57" s="1" t="s">
        <v>12</v>
      </c>
      <c r="E57" s="1">
        <v>42</v>
      </c>
      <c r="F57" s="1" t="s">
        <v>12</v>
      </c>
      <c r="G57" s="1" t="str">
        <f t="shared" si="0"/>
        <v>SI(G28-H28=58;42;</v>
      </c>
      <c r="I57" s="1" t="s">
        <v>11</v>
      </c>
      <c r="J57" s="1" t="s">
        <v>9</v>
      </c>
      <c r="K57" s="1">
        <v>58</v>
      </c>
      <c r="L57" s="1" t="s">
        <v>12</v>
      </c>
      <c r="M57" s="1">
        <v>42</v>
      </c>
      <c r="N57" s="1" t="s">
        <v>12</v>
      </c>
      <c r="O57" s="1" t="str">
        <f t="shared" si="1"/>
        <v>SI(G28-H28=-58;42;</v>
      </c>
    </row>
    <row r="58" spans="2:15" x14ac:dyDescent="0.3">
      <c r="B58" s="1" t="s">
        <v>11</v>
      </c>
      <c r="C58" s="1">
        <v>59</v>
      </c>
      <c r="D58" s="1" t="s">
        <v>12</v>
      </c>
      <c r="E58" s="1">
        <v>41</v>
      </c>
      <c r="F58" s="1" t="s">
        <v>12</v>
      </c>
      <c r="G58" s="1" t="str">
        <f t="shared" si="0"/>
        <v>SI(G28-H28=59;41;</v>
      </c>
      <c r="I58" s="1" t="s">
        <v>11</v>
      </c>
      <c r="J58" s="1" t="s">
        <v>9</v>
      </c>
      <c r="K58" s="1">
        <v>59</v>
      </c>
      <c r="L58" s="1" t="s">
        <v>12</v>
      </c>
      <c r="M58" s="1">
        <v>41</v>
      </c>
      <c r="N58" s="1" t="s">
        <v>12</v>
      </c>
      <c r="O58" s="1" t="str">
        <f t="shared" si="1"/>
        <v>SI(G28-H28=-59;41;</v>
      </c>
    </row>
    <row r="59" spans="2:15" x14ac:dyDescent="0.3">
      <c r="B59" s="1" t="s">
        <v>11</v>
      </c>
      <c r="C59" s="1">
        <v>60</v>
      </c>
      <c r="D59" s="1" t="s">
        <v>12</v>
      </c>
      <c r="E59" s="1">
        <v>40</v>
      </c>
      <c r="F59" s="1" t="s">
        <v>12</v>
      </c>
      <c r="G59" s="1" t="str">
        <f t="shared" si="0"/>
        <v>SI(G28-H28=60;40;</v>
      </c>
      <c r="I59" s="1" t="s">
        <v>11</v>
      </c>
      <c r="J59" s="1" t="s">
        <v>9</v>
      </c>
      <c r="K59" s="1">
        <v>60</v>
      </c>
      <c r="L59" s="1" t="s">
        <v>12</v>
      </c>
      <c r="M59" s="1">
        <v>40</v>
      </c>
      <c r="N59" s="1" t="s">
        <v>12</v>
      </c>
      <c r="O59" s="1" t="str">
        <f t="shared" si="1"/>
        <v>SI(G28-H28=-60;40;</v>
      </c>
    </row>
    <row r="60" spans="2:15" x14ac:dyDescent="0.3">
      <c r="B60" s="1" t="s">
        <v>11</v>
      </c>
      <c r="C60" s="1">
        <v>61</v>
      </c>
      <c r="D60" s="1" t="s">
        <v>12</v>
      </c>
      <c r="E60" s="1">
        <v>39</v>
      </c>
      <c r="F60" s="1" t="s">
        <v>12</v>
      </c>
      <c r="G60" s="1" t="str">
        <f t="shared" si="0"/>
        <v>SI(G28-H28=61;39;</v>
      </c>
      <c r="I60" s="1" t="s">
        <v>11</v>
      </c>
      <c r="J60" s="1" t="s">
        <v>9</v>
      </c>
      <c r="K60" s="1">
        <v>61</v>
      </c>
      <c r="L60" s="1" t="s">
        <v>12</v>
      </c>
      <c r="M60" s="1">
        <v>39</v>
      </c>
      <c r="N60" s="1" t="s">
        <v>12</v>
      </c>
      <c r="O60" s="1" t="str">
        <f t="shared" si="1"/>
        <v>SI(G28-H28=-61;39;</v>
      </c>
    </row>
    <row r="61" spans="2:15" x14ac:dyDescent="0.3">
      <c r="B61" s="1" t="s">
        <v>11</v>
      </c>
      <c r="C61" s="1">
        <v>62</v>
      </c>
      <c r="D61" s="1" t="s">
        <v>12</v>
      </c>
      <c r="E61" s="1">
        <v>38</v>
      </c>
      <c r="F61" s="1" t="s">
        <v>12</v>
      </c>
      <c r="G61" s="1" t="str">
        <f t="shared" si="0"/>
        <v>SI(G28-H28=62;38;</v>
      </c>
      <c r="I61" s="1" t="s">
        <v>11</v>
      </c>
      <c r="J61" s="1" t="s">
        <v>9</v>
      </c>
      <c r="K61" s="1">
        <v>62</v>
      </c>
      <c r="L61" s="1" t="s">
        <v>12</v>
      </c>
      <c r="M61" s="1">
        <v>38</v>
      </c>
      <c r="N61" s="1" t="s">
        <v>12</v>
      </c>
      <c r="O61" s="1" t="str">
        <f t="shared" si="1"/>
        <v>SI(G28-H28=-62;38;</v>
      </c>
    </row>
    <row r="62" spans="2:15" x14ac:dyDescent="0.3">
      <c r="B62" s="1" t="s">
        <v>11</v>
      </c>
      <c r="C62" s="1">
        <v>63</v>
      </c>
      <c r="D62" s="1" t="s">
        <v>12</v>
      </c>
      <c r="E62" s="1">
        <v>37</v>
      </c>
      <c r="F62" s="1" t="s">
        <v>12</v>
      </c>
      <c r="G62" s="1" t="str">
        <f t="shared" si="0"/>
        <v>SI(G28-H28=63;37;</v>
      </c>
      <c r="I62" s="1" t="s">
        <v>11</v>
      </c>
      <c r="J62" s="1" t="s">
        <v>9</v>
      </c>
      <c r="K62" s="1">
        <v>63</v>
      </c>
      <c r="L62" s="1" t="s">
        <v>12</v>
      </c>
      <c r="M62" s="1">
        <v>37</v>
      </c>
      <c r="N62" s="1" t="s">
        <v>12</v>
      </c>
      <c r="O62" s="1" t="str">
        <f t="shared" si="1"/>
        <v>SI(G28-H28=-63;37;</v>
      </c>
    </row>
    <row r="63" spans="2:15" x14ac:dyDescent="0.3">
      <c r="B63" s="1" t="s">
        <v>11</v>
      </c>
      <c r="C63" s="1">
        <v>64</v>
      </c>
      <c r="D63" s="1" t="s">
        <v>12</v>
      </c>
      <c r="E63" s="1">
        <v>36</v>
      </c>
      <c r="F63" s="1" t="s">
        <v>12</v>
      </c>
      <c r="G63" s="1" t="str">
        <f t="shared" si="0"/>
        <v>SI(G28-H28=64;36;</v>
      </c>
      <c r="I63" s="1" t="s">
        <v>11</v>
      </c>
      <c r="J63" s="1" t="s">
        <v>9</v>
      </c>
      <c r="K63" s="1">
        <v>64</v>
      </c>
      <c r="L63" s="1" t="s">
        <v>12</v>
      </c>
      <c r="M63" s="1">
        <v>36</v>
      </c>
      <c r="N63" s="1" t="s">
        <v>12</v>
      </c>
      <c r="O63" s="1" t="str">
        <f t="shared" si="1"/>
        <v>SI(G28-H28=-64;36;</v>
      </c>
    </row>
    <row r="64" spans="2:15" x14ac:dyDescent="0.3">
      <c r="B64" s="1" t="s">
        <v>11</v>
      </c>
      <c r="C64" s="1">
        <v>65</v>
      </c>
      <c r="D64" s="1" t="s">
        <v>12</v>
      </c>
      <c r="E64" s="1">
        <v>35</v>
      </c>
      <c r="F64" s="1" t="s">
        <v>12</v>
      </c>
      <c r="G64" s="1" t="str">
        <f t="shared" si="0"/>
        <v>SI(G28-H28=65;35;</v>
      </c>
      <c r="I64" s="1" t="s">
        <v>11</v>
      </c>
      <c r="J64" s="1" t="s">
        <v>9</v>
      </c>
      <c r="K64" s="1">
        <v>65</v>
      </c>
      <c r="L64" s="1" t="s">
        <v>12</v>
      </c>
      <c r="M64" s="1">
        <v>35</v>
      </c>
      <c r="N64" s="1" t="s">
        <v>12</v>
      </c>
      <c r="O64" s="1" t="str">
        <f t="shared" si="1"/>
        <v>SI(G28-H28=-65;35;</v>
      </c>
    </row>
    <row r="65" spans="2:15" x14ac:dyDescent="0.3">
      <c r="B65" s="1" t="s">
        <v>11</v>
      </c>
      <c r="C65" s="1">
        <v>66</v>
      </c>
      <c r="D65" s="1" t="s">
        <v>12</v>
      </c>
      <c r="E65" s="1">
        <v>34</v>
      </c>
      <c r="F65" s="1" t="s">
        <v>12</v>
      </c>
      <c r="G65" s="1" t="str">
        <f t="shared" si="0"/>
        <v>SI(G28-H28=66;34;</v>
      </c>
      <c r="I65" s="1" t="s">
        <v>11</v>
      </c>
      <c r="J65" s="1" t="s">
        <v>9</v>
      </c>
      <c r="K65" s="1">
        <v>66</v>
      </c>
      <c r="L65" s="1" t="s">
        <v>12</v>
      </c>
      <c r="M65" s="1">
        <v>34</v>
      </c>
      <c r="N65" s="1" t="s">
        <v>12</v>
      </c>
      <c r="O65" s="1" t="str">
        <f t="shared" si="1"/>
        <v>SI(G28-H28=-66;34;</v>
      </c>
    </row>
    <row r="66" spans="2:15" x14ac:dyDescent="0.3">
      <c r="B66" s="1" t="s">
        <v>11</v>
      </c>
      <c r="C66" s="1">
        <v>67</v>
      </c>
      <c r="D66" s="1" t="s">
        <v>12</v>
      </c>
      <c r="E66" s="1">
        <v>33</v>
      </c>
      <c r="F66" s="1" t="s">
        <v>12</v>
      </c>
      <c r="G66" s="1" t="str">
        <f t="shared" ref="G66:G99" si="2">CONCATENATE(B66,C66,D66,E66,F66)</f>
        <v>SI(G28-H28=67;33;</v>
      </c>
      <c r="I66" s="1" t="s">
        <v>11</v>
      </c>
      <c r="J66" s="1" t="s">
        <v>9</v>
      </c>
      <c r="K66" s="1">
        <v>67</v>
      </c>
      <c r="L66" s="1" t="s">
        <v>12</v>
      </c>
      <c r="M66" s="1">
        <v>33</v>
      </c>
      <c r="N66" s="1" t="s">
        <v>12</v>
      </c>
      <c r="O66" s="1" t="str">
        <f t="shared" ref="O66:O99" si="3">CONCATENATE(I66,J66,K66,L66,M66,N66)</f>
        <v>SI(G28-H28=-67;33;</v>
      </c>
    </row>
    <row r="67" spans="2:15" x14ac:dyDescent="0.3">
      <c r="B67" s="1" t="s">
        <v>11</v>
      </c>
      <c r="C67" s="1">
        <v>68</v>
      </c>
      <c r="D67" s="1" t="s">
        <v>12</v>
      </c>
      <c r="E67" s="1">
        <v>32</v>
      </c>
      <c r="F67" s="1" t="s">
        <v>12</v>
      </c>
      <c r="G67" s="1" t="str">
        <f t="shared" si="2"/>
        <v>SI(G28-H28=68;32;</v>
      </c>
      <c r="I67" s="1" t="s">
        <v>11</v>
      </c>
      <c r="J67" s="1" t="s">
        <v>9</v>
      </c>
      <c r="K67" s="1">
        <v>68</v>
      </c>
      <c r="L67" s="1" t="s">
        <v>12</v>
      </c>
      <c r="M67" s="1">
        <v>32</v>
      </c>
      <c r="N67" s="1" t="s">
        <v>12</v>
      </c>
      <c r="O67" s="1" t="str">
        <f t="shared" si="3"/>
        <v>SI(G28-H28=-68;32;</v>
      </c>
    </row>
    <row r="68" spans="2:15" x14ac:dyDescent="0.3">
      <c r="B68" s="1" t="s">
        <v>11</v>
      </c>
      <c r="C68" s="1">
        <v>69</v>
      </c>
      <c r="D68" s="1" t="s">
        <v>12</v>
      </c>
      <c r="E68" s="1">
        <v>31</v>
      </c>
      <c r="F68" s="1" t="s">
        <v>12</v>
      </c>
      <c r="G68" s="1" t="str">
        <f t="shared" si="2"/>
        <v>SI(G28-H28=69;31;</v>
      </c>
      <c r="I68" s="1" t="s">
        <v>11</v>
      </c>
      <c r="J68" s="1" t="s">
        <v>9</v>
      </c>
      <c r="K68" s="1">
        <v>69</v>
      </c>
      <c r="L68" s="1" t="s">
        <v>12</v>
      </c>
      <c r="M68" s="1">
        <v>31</v>
      </c>
      <c r="N68" s="1" t="s">
        <v>12</v>
      </c>
      <c r="O68" s="1" t="str">
        <f t="shared" si="3"/>
        <v>SI(G28-H28=-69;31;</v>
      </c>
    </row>
    <row r="69" spans="2:15" x14ac:dyDescent="0.3">
      <c r="B69" s="1" t="s">
        <v>11</v>
      </c>
      <c r="C69" s="1">
        <v>70</v>
      </c>
      <c r="D69" s="1" t="s">
        <v>12</v>
      </c>
      <c r="E69" s="1">
        <v>30</v>
      </c>
      <c r="F69" s="1" t="s">
        <v>12</v>
      </c>
      <c r="G69" s="1" t="str">
        <f t="shared" si="2"/>
        <v>SI(G28-H28=70;30;</v>
      </c>
      <c r="I69" s="1" t="s">
        <v>11</v>
      </c>
      <c r="J69" s="1" t="s">
        <v>9</v>
      </c>
      <c r="K69" s="1">
        <v>70</v>
      </c>
      <c r="L69" s="1" t="s">
        <v>12</v>
      </c>
      <c r="M69" s="1">
        <v>30</v>
      </c>
      <c r="N69" s="1" t="s">
        <v>12</v>
      </c>
      <c r="O69" s="1" t="str">
        <f t="shared" si="3"/>
        <v>SI(G28-H28=-70;30;</v>
      </c>
    </row>
    <row r="70" spans="2:15" x14ac:dyDescent="0.3">
      <c r="B70" s="1" t="s">
        <v>11</v>
      </c>
      <c r="C70" s="1">
        <v>71</v>
      </c>
      <c r="D70" s="1" t="s">
        <v>12</v>
      </c>
      <c r="E70" s="1">
        <v>29</v>
      </c>
      <c r="F70" s="1" t="s">
        <v>12</v>
      </c>
      <c r="G70" s="1" t="str">
        <f t="shared" si="2"/>
        <v>SI(G28-H28=71;29;</v>
      </c>
      <c r="I70" s="1" t="s">
        <v>11</v>
      </c>
      <c r="J70" s="1" t="s">
        <v>9</v>
      </c>
      <c r="K70" s="1">
        <v>71</v>
      </c>
      <c r="L70" s="1" t="s">
        <v>12</v>
      </c>
      <c r="M70" s="1">
        <v>29</v>
      </c>
      <c r="N70" s="1" t="s">
        <v>12</v>
      </c>
      <c r="O70" s="1" t="str">
        <f t="shared" si="3"/>
        <v>SI(G28-H28=-71;29;</v>
      </c>
    </row>
    <row r="71" spans="2:15" x14ac:dyDescent="0.3">
      <c r="B71" s="1" t="s">
        <v>11</v>
      </c>
      <c r="C71" s="1">
        <v>72</v>
      </c>
      <c r="D71" s="1" t="s">
        <v>12</v>
      </c>
      <c r="E71" s="1">
        <v>28</v>
      </c>
      <c r="F71" s="1" t="s">
        <v>12</v>
      </c>
      <c r="G71" s="1" t="str">
        <f t="shared" si="2"/>
        <v>SI(G28-H28=72;28;</v>
      </c>
      <c r="I71" s="1" t="s">
        <v>11</v>
      </c>
      <c r="J71" s="1" t="s">
        <v>9</v>
      </c>
      <c r="K71" s="1">
        <v>72</v>
      </c>
      <c r="L71" s="1" t="s">
        <v>12</v>
      </c>
      <c r="M71" s="1">
        <v>28</v>
      </c>
      <c r="N71" s="1" t="s">
        <v>12</v>
      </c>
      <c r="O71" s="1" t="str">
        <f t="shared" si="3"/>
        <v>SI(G28-H28=-72;28;</v>
      </c>
    </row>
    <row r="72" spans="2:15" x14ac:dyDescent="0.3">
      <c r="B72" s="1" t="s">
        <v>11</v>
      </c>
      <c r="C72" s="1">
        <v>73</v>
      </c>
      <c r="D72" s="1" t="s">
        <v>12</v>
      </c>
      <c r="E72" s="1">
        <v>27</v>
      </c>
      <c r="F72" s="1" t="s">
        <v>12</v>
      </c>
      <c r="G72" s="1" t="str">
        <f t="shared" si="2"/>
        <v>SI(G28-H28=73;27;</v>
      </c>
      <c r="I72" s="1" t="s">
        <v>11</v>
      </c>
      <c r="J72" s="1" t="s">
        <v>9</v>
      </c>
      <c r="K72" s="1">
        <v>73</v>
      </c>
      <c r="L72" s="1" t="s">
        <v>12</v>
      </c>
      <c r="M72" s="1">
        <v>27</v>
      </c>
      <c r="N72" s="1" t="s">
        <v>12</v>
      </c>
      <c r="O72" s="1" t="str">
        <f t="shared" si="3"/>
        <v>SI(G28-H28=-73;27;</v>
      </c>
    </row>
    <row r="73" spans="2:15" x14ac:dyDescent="0.3">
      <c r="B73" s="1" t="s">
        <v>11</v>
      </c>
      <c r="C73" s="1">
        <v>74</v>
      </c>
      <c r="D73" s="1" t="s">
        <v>12</v>
      </c>
      <c r="E73" s="1">
        <v>26</v>
      </c>
      <c r="F73" s="1" t="s">
        <v>12</v>
      </c>
      <c r="G73" s="1" t="str">
        <f t="shared" si="2"/>
        <v>SI(G28-H28=74;26;</v>
      </c>
      <c r="I73" s="1" t="s">
        <v>11</v>
      </c>
      <c r="J73" s="1" t="s">
        <v>9</v>
      </c>
      <c r="K73" s="1">
        <v>74</v>
      </c>
      <c r="L73" s="1" t="s">
        <v>12</v>
      </c>
      <c r="M73" s="1">
        <v>26</v>
      </c>
      <c r="N73" s="1" t="s">
        <v>12</v>
      </c>
      <c r="O73" s="1" t="str">
        <f t="shared" si="3"/>
        <v>SI(G28-H28=-74;26;</v>
      </c>
    </row>
    <row r="74" spans="2:15" x14ac:dyDescent="0.3">
      <c r="B74" s="1" t="s">
        <v>11</v>
      </c>
      <c r="C74" s="1">
        <v>75</v>
      </c>
      <c r="D74" s="1" t="s">
        <v>12</v>
      </c>
      <c r="E74" s="1">
        <v>25</v>
      </c>
      <c r="F74" s="1" t="s">
        <v>12</v>
      </c>
      <c r="G74" s="1" t="str">
        <f t="shared" si="2"/>
        <v>SI(G28-H28=75;25;</v>
      </c>
      <c r="I74" s="1" t="s">
        <v>11</v>
      </c>
      <c r="J74" s="1" t="s">
        <v>9</v>
      </c>
      <c r="K74" s="1">
        <v>75</v>
      </c>
      <c r="L74" s="1" t="s">
        <v>12</v>
      </c>
      <c r="M74" s="1">
        <v>25</v>
      </c>
      <c r="N74" s="1" t="s">
        <v>12</v>
      </c>
      <c r="O74" s="1" t="str">
        <f t="shared" si="3"/>
        <v>SI(G28-H28=-75;25;</v>
      </c>
    </row>
    <row r="75" spans="2:15" x14ac:dyDescent="0.3">
      <c r="B75" s="1" t="s">
        <v>11</v>
      </c>
      <c r="C75" s="1">
        <v>76</v>
      </c>
      <c r="D75" s="1" t="s">
        <v>12</v>
      </c>
      <c r="E75" s="1">
        <v>24</v>
      </c>
      <c r="F75" s="1" t="s">
        <v>12</v>
      </c>
      <c r="G75" s="1" t="str">
        <f t="shared" si="2"/>
        <v>SI(G28-H28=76;24;</v>
      </c>
      <c r="I75" s="1" t="s">
        <v>11</v>
      </c>
      <c r="J75" s="1" t="s">
        <v>9</v>
      </c>
      <c r="K75" s="1">
        <v>76</v>
      </c>
      <c r="L75" s="1" t="s">
        <v>12</v>
      </c>
      <c r="M75" s="1">
        <v>24</v>
      </c>
      <c r="N75" s="1" t="s">
        <v>12</v>
      </c>
      <c r="O75" s="1" t="str">
        <f t="shared" si="3"/>
        <v>SI(G28-H28=-76;24;</v>
      </c>
    </row>
    <row r="76" spans="2:15" x14ac:dyDescent="0.3">
      <c r="B76" s="1" t="s">
        <v>11</v>
      </c>
      <c r="C76" s="1">
        <v>77</v>
      </c>
      <c r="D76" s="1" t="s">
        <v>12</v>
      </c>
      <c r="E76" s="1">
        <v>23</v>
      </c>
      <c r="F76" s="1" t="s">
        <v>12</v>
      </c>
      <c r="G76" s="1" t="str">
        <f t="shared" si="2"/>
        <v>SI(G28-H28=77;23;</v>
      </c>
      <c r="I76" s="1" t="s">
        <v>11</v>
      </c>
      <c r="J76" s="1" t="s">
        <v>9</v>
      </c>
      <c r="K76" s="1">
        <v>77</v>
      </c>
      <c r="L76" s="1" t="s">
        <v>12</v>
      </c>
      <c r="M76" s="1">
        <v>23</v>
      </c>
      <c r="N76" s="1" t="s">
        <v>12</v>
      </c>
      <c r="O76" s="1" t="str">
        <f t="shared" si="3"/>
        <v>SI(G28-H28=-77;23;</v>
      </c>
    </row>
    <row r="77" spans="2:15" x14ac:dyDescent="0.3">
      <c r="B77" s="1" t="s">
        <v>11</v>
      </c>
      <c r="C77" s="1">
        <v>78</v>
      </c>
      <c r="D77" s="1" t="s">
        <v>12</v>
      </c>
      <c r="E77" s="1">
        <v>22</v>
      </c>
      <c r="F77" s="1" t="s">
        <v>12</v>
      </c>
      <c r="G77" s="1" t="str">
        <f t="shared" si="2"/>
        <v>SI(G28-H28=78;22;</v>
      </c>
      <c r="I77" s="1" t="s">
        <v>11</v>
      </c>
      <c r="J77" s="1" t="s">
        <v>9</v>
      </c>
      <c r="K77" s="1">
        <v>78</v>
      </c>
      <c r="L77" s="1" t="s">
        <v>12</v>
      </c>
      <c r="M77" s="1">
        <v>22</v>
      </c>
      <c r="N77" s="1" t="s">
        <v>12</v>
      </c>
      <c r="O77" s="1" t="str">
        <f t="shared" si="3"/>
        <v>SI(G28-H28=-78;22;</v>
      </c>
    </row>
    <row r="78" spans="2:15" x14ac:dyDescent="0.3">
      <c r="B78" s="1" t="s">
        <v>11</v>
      </c>
      <c r="C78" s="1">
        <v>79</v>
      </c>
      <c r="D78" s="1" t="s">
        <v>12</v>
      </c>
      <c r="E78" s="1">
        <v>21</v>
      </c>
      <c r="F78" s="1" t="s">
        <v>12</v>
      </c>
      <c r="G78" s="1" t="str">
        <f t="shared" si="2"/>
        <v>SI(G28-H28=79;21;</v>
      </c>
      <c r="I78" s="1" t="s">
        <v>11</v>
      </c>
      <c r="J78" s="1" t="s">
        <v>9</v>
      </c>
      <c r="K78" s="1">
        <v>79</v>
      </c>
      <c r="L78" s="1" t="s">
        <v>12</v>
      </c>
      <c r="M78" s="1">
        <v>21</v>
      </c>
      <c r="N78" s="1" t="s">
        <v>12</v>
      </c>
      <c r="O78" s="1" t="str">
        <f t="shared" si="3"/>
        <v>SI(G28-H28=-79;21;</v>
      </c>
    </row>
    <row r="79" spans="2:15" x14ac:dyDescent="0.3">
      <c r="B79" s="1" t="s">
        <v>11</v>
      </c>
      <c r="C79" s="1">
        <v>80</v>
      </c>
      <c r="D79" s="1" t="s">
        <v>12</v>
      </c>
      <c r="E79" s="1">
        <v>20</v>
      </c>
      <c r="F79" s="1" t="s">
        <v>12</v>
      </c>
      <c r="G79" s="1" t="str">
        <f t="shared" si="2"/>
        <v>SI(G28-H28=80;20;</v>
      </c>
      <c r="I79" s="1" t="s">
        <v>11</v>
      </c>
      <c r="J79" s="1" t="s">
        <v>9</v>
      </c>
      <c r="K79" s="1">
        <v>80</v>
      </c>
      <c r="L79" s="1" t="s">
        <v>12</v>
      </c>
      <c r="M79" s="1">
        <v>20</v>
      </c>
      <c r="N79" s="1" t="s">
        <v>12</v>
      </c>
      <c r="O79" s="1" t="str">
        <f t="shared" si="3"/>
        <v>SI(G28-H28=-80;20;</v>
      </c>
    </row>
    <row r="80" spans="2:15" x14ac:dyDescent="0.3">
      <c r="B80" s="1" t="s">
        <v>11</v>
      </c>
      <c r="C80" s="1">
        <v>81</v>
      </c>
      <c r="D80" s="1" t="s">
        <v>12</v>
      </c>
      <c r="E80" s="1">
        <v>19</v>
      </c>
      <c r="F80" s="1" t="s">
        <v>12</v>
      </c>
      <c r="G80" s="1" t="str">
        <f t="shared" si="2"/>
        <v>SI(G28-H28=81;19;</v>
      </c>
      <c r="I80" s="1" t="s">
        <v>11</v>
      </c>
      <c r="J80" s="1" t="s">
        <v>9</v>
      </c>
      <c r="K80" s="1">
        <v>81</v>
      </c>
      <c r="L80" s="1" t="s">
        <v>12</v>
      </c>
      <c r="M80" s="1">
        <v>19</v>
      </c>
      <c r="N80" s="1" t="s">
        <v>12</v>
      </c>
      <c r="O80" s="1" t="str">
        <f t="shared" si="3"/>
        <v>SI(G28-H28=-81;19;</v>
      </c>
    </row>
    <row r="81" spans="2:15" x14ac:dyDescent="0.3">
      <c r="B81" s="1" t="s">
        <v>11</v>
      </c>
      <c r="C81" s="1">
        <v>82</v>
      </c>
      <c r="D81" s="1" t="s">
        <v>12</v>
      </c>
      <c r="E81" s="1">
        <v>18</v>
      </c>
      <c r="F81" s="1" t="s">
        <v>12</v>
      </c>
      <c r="G81" s="1" t="str">
        <f t="shared" si="2"/>
        <v>SI(G28-H28=82;18;</v>
      </c>
      <c r="I81" s="1" t="s">
        <v>11</v>
      </c>
      <c r="J81" s="1" t="s">
        <v>9</v>
      </c>
      <c r="K81" s="1">
        <v>82</v>
      </c>
      <c r="L81" s="1" t="s">
        <v>12</v>
      </c>
      <c r="M81" s="1">
        <v>18</v>
      </c>
      <c r="N81" s="1" t="s">
        <v>12</v>
      </c>
      <c r="O81" s="1" t="str">
        <f t="shared" si="3"/>
        <v>SI(G28-H28=-82;18;</v>
      </c>
    </row>
    <row r="82" spans="2:15" x14ac:dyDescent="0.3">
      <c r="B82" s="1" t="s">
        <v>11</v>
      </c>
      <c r="C82" s="1">
        <v>83</v>
      </c>
      <c r="D82" s="1" t="s">
        <v>12</v>
      </c>
      <c r="E82" s="1">
        <v>17</v>
      </c>
      <c r="F82" s="1" t="s">
        <v>12</v>
      </c>
      <c r="G82" s="1" t="str">
        <f t="shared" si="2"/>
        <v>SI(G28-H28=83;17;</v>
      </c>
      <c r="I82" s="1" t="s">
        <v>11</v>
      </c>
      <c r="J82" s="1" t="s">
        <v>9</v>
      </c>
      <c r="K82" s="1">
        <v>83</v>
      </c>
      <c r="L82" s="1" t="s">
        <v>12</v>
      </c>
      <c r="M82" s="1">
        <v>17</v>
      </c>
      <c r="N82" s="1" t="s">
        <v>12</v>
      </c>
      <c r="O82" s="1" t="str">
        <f t="shared" si="3"/>
        <v>SI(G28-H28=-83;17;</v>
      </c>
    </row>
    <row r="83" spans="2:15" x14ac:dyDescent="0.3">
      <c r="B83" s="1" t="s">
        <v>11</v>
      </c>
      <c r="C83" s="1">
        <v>84</v>
      </c>
      <c r="D83" s="1" t="s">
        <v>12</v>
      </c>
      <c r="E83" s="1">
        <v>16</v>
      </c>
      <c r="F83" s="1" t="s">
        <v>12</v>
      </c>
      <c r="G83" s="1" t="str">
        <f t="shared" si="2"/>
        <v>SI(G28-H28=84;16;</v>
      </c>
      <c r="I83" s="1" t="s">
        <v>11</v>
      </c>
      <c r="J83" s="1" t="s">
        <v>9</v>
      </c>
      <c r="K83" s="1">
        <v>84</v>
      </c>
      <c r="L83" s="1" t="s">
        <v>12</v>
      </c>
      <c r="M83" s="1">
        <v>16</v>
      </c>
      <c r="N83" s="1" t="s">
        <v>12</v>
      </c>
      <c r="O83" s="1" t="str">
        <f t="shared" si="3"/>
        <v>SI(G28-H28=-84;16;</v>
      </c>
    </row>
    <row r="84" spans="2:15" x14ac:dyDescent="0.3">
      <c r="B84" s="1" t="s">
        <v>11</v>
      </c>
      <c r="C84" s="1">
        <v>85</v>
      </c>
      <c r="D84" s="1" t="s">
        <v>12</v>
      </c>
      <c r="E84" s="1">
        <v>15</v>
      </c>
      <c r="F84" s="1" t="s">
        <v>12</v>
      </c>
      <c r="G84" s="1" t="str">
        <f t="shared" si="2"/>
        <v>SI(G28-H28=85;15;</v>
      </c>
      <c r="I84" s="1" t="s">
        <v>11</v>
      </c>
      <c r="J84" s="1" t="s">
        <v>9</v>
      </c>
      <c r="K84" s="1">
        <v>85</v>
      </c>
      <c r="L84" s="1" t="s">
        <v>12</v>
      </c>
      <c r="M84" s="1">
        <v>15</v>
      </c>
      <c r="N84" s="1" t="s">
        <v>12</v>
      </c>
      <c r="O84" s="1" t="str">
        <f t="shared" si="3"/>
        <v>SI(G28-H28=-85;15;</v>
      </c>
    </row>
    <row r="85" spans="2:15" x14ac:dyDescent="0.3">
      <c r="B85" s="1" t="s">
        <v>11</v>
      </c>
      <c r="C85" s="1">
        <v>86</v>
      </c>
      <c r="D85" s="1" t="s">
        <v>12</v>
      </c>
      <c r="E85" s="1">
        <v>14</v>
      </c>
      <c r="F85" s="1" t="s">
        <v>12</v>
      </c>
      <c r="G85" s="1" t="str">
        <f t="shared" si="2"/>
        <v>SI(G28-H28=86;14;</v>
      </c>
      <c r="I85" s="1" t="s">
        <v>11</v>
      </c>
      <c r="J85" s="1" t="s">
        <v>9</v>
      </c>
      <c r="K85" s="1">
        <v>86</v>
      </c>
      <c r="L85" s="1" t="s">
        <v>12</v>
      </c>
      <c r="M85" s="1">
        <v>14</v>
      </c>
      <c r="N85" s="1" t="s">
        <v>12</v>
      </c>
      <c r="O85" s="1" t="str">
        <f t="shared" si="3"/>
        <v>SI(G28-H28=-86;14;</v>
      </c>
    </row>
    <row r="86" spans="2:15" x14ac:dyDescent="0.3">
      <c r="B86" s="1" t="s">
        <v>11</v>
      </c>
      <c r="C86" s="1">
        <v>87</v>
      </c>
      <c r="D86" s="1" t="s">
        <v>12</v>
      </c>
      <c r="E86" s="1">
        <v>13</v>
      </c>
      <c r="F86" s="1" t="s">
        <v>12</v>
      </c>
      <c r="G86" s="1" t="str">
        <f t="shared" si="2"/>
        <v>SI(G28-H28=87;13;</v>
      </c>
      <c r="I86" s="1" t="s">
        <v>11</v>
      </c>
      <c r="J86" s="1" t="s">
        <v>9</v>
      </c>
      <c r="K86" s="1">
        <v>87</v>
      </c>
      <c r="L86" s="1" t="s">
        <v>12</v>
      </c>
      <c r="M86" s="1">
        <v>13</v>
      </c>
      <c r="N86" s="1" t="s">
        <v>12</v>
      </c>
      <c r="O86" s="1" t="str">
        <f t="shared" si="3"/>
        <v>SI(G28-H28=-87;13;</v>
      </c>
    </row>
    <row r="87" spans="2:15" x14ac:dyDescent="0.3">
      <c r="B87" s="1" t="s">
        <v>11</v>
      </c>
      <c r="C87" s="1">
        <v>88</v>
      </c>
      <c r="D87" s="1" t="s">
        <v>12</v>
      </c>
      <c r="E87" s="1">
        <v>12</v>
      </c>
      <c r="F87" s="1" t="s">
        <v>12</v>
      </c>
      <c r="G87" s="1" t="str">
        <f t="shared" si="2"/>
        <v>SI(G28-H28=88;12;</v>
      </c>
      <c r="I87" s="1" t="s">
        <v>11</v>
      </c>
      <c r="J87" s="1" t="s">
        <v>9</v>
      </c>
      <c r="K87" s="1">
        <v>88</v>
      </c>
      <c r="L87" s="1" t="s">
        <v>12</v>
      </c>
      <c r="M87" s="1">
        <v>12</v>
      </c>
      <c r="N87" s="1" t="s">
        <v>12</v>
      </c>
      <c r="O87" s="1" t="str">
        <f t="shared" si="3"/>
        <v>SI(G28-H28=-88;12;</v>
      </c>
    </row>
    <row r="88" spans="2:15" x14ac:dyDescent="0.3">
      <c r="B88" s="1" t="s">
        <v>11</v>
      </c>
      <c r="C88" s="1">
        <v>89</v>
      </c>
      <c r="D88" s="1" t="s">
        <v>12</v>
      </c>
      <c r="E88" s="1">
        <v>11</v>
      </c>
      <c r="F88" s="1" t="s">
        <v>12</v>
      </c>
      <c r="G88" s="1" t="str">
        <f t="shared" si="2"/>
        <v>SI(G28-H28=89;11;</v>
      </c>
      <c r="I88" s="1" t="s">
        <v>11</v>
      </c>
      <c r="J88" s="1" t="s">
        <v>9</v>
      </c>
      <c r="K88" s="1">
        <v>89</v>
      </c>
      <c r="L88" s="1" t="s">
        <v>12</v>
      </c>
      <c r="M88" s="1">
        <v>11</v>
      </c>
      <c r="N88" s="1" t="s">
        <v>12</v>
      </c>
      <c r="O88" s="1" t="str">
        <f t="shared" si="3"/>
        <v>SI(G28-H28=-89;11;</v>
      </c>
    </row>
    <row r="89" spans="2:15" x14ac:dyDescent="0.3">
      <c r="B89" s="1" t="s">
        <v>11</v>
      </c>
      <c r="C89" s="1">
        <v>90</v>
      </c>
      <c r="D89" s="1" t="s">
        <v>12</v>
      </c>
      <c r="E89" s="1">
        <v>10</v>
      </c>
      <c r="F89" s="1" t="s">
        <v>12</v>
      </c>
      <c r="G89" s="1" t="str">
        <f t="shared" si="2"/>
        <v>SI(G28-H28=90;10;</v>
      </c>
      <c r="I89" s="1" t="s">
        <v>11</v>
      </c>
      <c r="J89" s="1" t="s">
        <v>9</v>
      </c>
      <c r="K89" s="1">
        <v>90</v>
      </c>
      <c r="L89" s="1" t="s">
        <v>12</v>
      </c>
      <c r="M89" s="1">
        <v>10</v>
      </c>
      <c r="N89" s="1" t="s">
        <v>12</v>
      </c>
      <c r="O89" s="1" t="str">
        <f t="shared" si="3"/>
        <v>SI(G28-H28=-90;10;</v>
      </c>
    </row>
    <row r="90" spans="2:15" x14ac:dyDescent="0.3">
      <c r="B90" s="1" t="s">
        <v>11</v>
      </c>
      <c r="C90" s="1">
        <v>91</v>
      </c>
      <c r="D90" s="1" t="s">
        <v>12</v>
      </c>
      <c r="E90" s="1">
        <v>9</v>
      </c>
      <c r="F90" s="1" t="s">
        <v>12</v>
      </c>
      <c r="G90" s="1" t="str">
        <f t="shared" si="2"/>
        <v>SI(G28-H28=91;9;</v>
      </c>
      <c r="I90" s="1" t="s">
        <v>11</v>
      </c>
      <c r="J90" s="1" t="s">
        <v>9</v>
      </c>
      <c r="K90" s="1">
        <v>91</v>
      </c>
      <c r="L90" s="1" t="s">
        <v>12</v>
      </c>
      <c r="M90" s="1">
        <v>9</v>
      </c>
      <c r="N90" s="1" t="s">
        <v>12</v>
      </c>
      <c r="O90" s="1" t="str">
        <f t="shared" si="3"/>
        <v>SI(G28-H28=-91;9;</v>
      </c>
    </row>
    <row r="91" spans="2:15" x14ac:dyDescent="0.3">
      <c r="B91" s="1" t="s">
        <v>11</v>
      </c>
      <c r="C91" s="1">
        <v>92</v>
      </c>
      <c r="D91" s="1" t="s">
        <v>12</v>
      </c>
      <c r="E91" s="1">
        <v>8</v>
      </c>
      <c r="F91" s="1" t="s">
        <v>12</v>
      </c>
      <c r="G91" s="1" t="str">
        <f t="shared" si="2"/>
        <v>SI(G28-H28=92;8;</v>
      </c>
      <c r="I91" s="1" t="s">
        <v>11</v>
      </c>
      <c r="J91" s="1" t="s">
        <v>9</v>
      </c>
      <c r="K91" s="1">
        <v>92</v>
      </c>
      <c r="L91" s="1" t="s">
        <v>12</v>
      </c>
      <c r="M91" s="1">
        <v>8</v>
      </c>
      <c r="N91" s="1" t="s">
        <v>12</v>
      </c>
      <c r="O91" s="1" t="str">
        <f t="shared" si="3"/>
        <v>SI(G28-H28=-92;8;</v>
      </c>
    </row>
    <row r="92" spans="2:15" x14ac:dyDescent="0.3">
      <c r="B92" s="1" t="s">
        <v>11</v>
      </c>
      <c r="C92" s="1">
        <v>93</v>
      </c>
      <c r="D92" s="1" t="s">
        <v>12</v>
      </c>
      <c r="E92" s="1">
        <v>7</v>
      </c>
      <c r="F92" s="1" t="s">
        <v>12</v>
      </c>
      <c r="G92" s="1" t="str">
        <f t="shared" si="2"/>
        <v>SI(G28-H28=93;7;</v>
      </c>
      <c r="I92" s="1" t="s">
        <v>11</v>
      </c>
      <c r="J92" s="1" t="s">
        <v>9</v>
      </c>
      <c r="K92" s="1">
        <v>93</v>
      </c>
      <c r="L92" s="1" t="s">
        <v>12</v>
      </c>
      <c r="M92" s="1">
        <v>7</v>
      </c>
      <c r="N92" s="1" t="s">
        <v>12</v>
      </c>
      <c r="O92" s="1" t="str">
        <f t="shared" si="3"/>
        <v>SI(G28-H28=-93;7;</v>
      </c>
    </row>
    <row r="93" spans="2:15" x14ac:dyDescent="0.3">
      <c r="B93" s="1" t="s">
        <v>11</v>
      </c>
      <c r="C93" s="1">
        <v>94</v>
      </c>
      <c r="D93" s="1" t="s">
        <v>12</v>
      </c>
      <c r="E93" s="1">
        <v>6</v>
      </c>
      <c r="F93" s="1" t="s">
        <v>12</v>
      </c>
      <c r="G93" s="1" t="str">
        <f t="shared" si="2"/>
        <v>SI(G28-H28=94;6;</v>
      </c>
      <c r="I93" s="1" t="s">
        <v>11</v>
      </c>
      <c r="J93" s="1" t="s">
        <v>9</v>
      </c>
      <c r="K93" s="1">
        <v>94</v>
      </c>
      <c r="L93" s="1" t="s">
        <v>12</v>
      </c>
      <c r="M93" s="1">
        <v>6</v>
      </c>
      <c r="N93" s="1" t="s">
        <v>12</v>
      </c>
      <c r="O93" s="1" t="str">
        <f t="shared" si="3"/>
        <v>SI(G28-H28=-94;6;</v>
      </c>
    </row>
    <row r="94" spans="2:15" x14ac:dyDescent="0.3">
      <c r="B94" s="1" t="s">
        <v>11</v>
      </c>
      <c r="C94" s="1">
        <v>95</v>
      </c>
      <c r="D94" s="1" t="s">
        <v>12</v>
      </c>
      <c r="E94" s="1">
        <v>5</v>
      </c>
      <c r="F94" s="1" t="s">
        <v>12</v>
      </c>
      <c r="G94" s="1" t="str">
        <f t="shared" si="2"/>
        <v>SI(G28-H28=95;5;</v>
      </c>
      <c r="I94" s="1" t="s">
        <v>11</v>
      </c>
      <c r="J94" s="1" t="s">
        <v>9</v>
      </c>
      <c r="K94" s="1">
        <v>95</v>
      </c>
      <c r="L94" s="1" t="s">
        <v>12</v>
      </c>
      <c r="M94" s="1">
        <v>5</v>
      </c>
      <c r="N94" s="1" t="s">
        <v>12</v>
      </c>
      <c r="O94" s="1" t="str">
        <f t="shared" si="3"/>
        <v>SI(G28-H28=-95;5;</v>
      </c>
    </row>
    <row r="95" spans="2:15" x14ac:dyDescent="0.3">
      <c r="B95" s="1" t="s">
        <v>11</v>
      </c>
      <c r="C95" s="1">
        <v>96</v>
      </c>
      <c r="D95" s="1" t="s">
        <v>12</v>
      </c>
      <c r="E95" s="1">
        <v>4</v>
      </c>
      <c r="F95" s="1" t="s">
        <v>12</v>
      </c>
      <c r="G95" s="1" t="str">
        <f t="shared" si="2"/>
        <v>SI(G28-H28=96;4;</v>
      </c>
      <c r="I95" s="1" t="s">
        <v>11</v>
      </c>
      <c r="J95" s="1" t="s">
        <v>9</v>
      </c>
      <c r="K95" s="1">
        <v>96</v>
      </c>
      <c r="L95" s="1" t="s">
        <v>12</v>
      </c>
      <c r="M95" s="1">
        <v>4</v>
      </c>
      <c r="N95" s="1" t="s">
        <v>12</v>
      </c>
      <c r="O95" s="1" t="str">
        <f t="shared" si="3"/>
        <v>SI(G28-H28=-96;4;</v>
      </c>
    </row>
    <row r="96" spans="2:15" x14ac:dyDescent="0.3">
      <c r="B96" s="1" t="s">
        <v>11</v>
      </c>
      <c r="C96" s="1">
        <v>97</v>
      </c>
      <c r="D96" s="1" t="s">
        <v>12</v>
      </c>
      <c r="E96" s="1">
        <v>3</v>
      </c>
      <c r="F96" s="1" t="s">
        <v>12</v>
      </c>
      <c r="G96" s="1" t="str">
        <f t="shared" si="2"/>
        <v>SI(G28-H28=97;3;</v>
      </c>
      <c r="I96" s="1" t="s">
        <v>11</v>
      </c>
      <c r="J96" s="1" t="s">
        <v>9</v>
      </c>
      <c r="K96" s="1">
        <v>97</v>
      </c>
      <c r="L96" s="1" t="s">
        <v>12</v>
      </c>
      <c r="M96" s="1">
        <v>3</v>
      </c>
      <c r="N96" s="1" t="s">
        <v>12</v>
      </c>
      <c r="O96" s="1" t="str">
        <f t="shared" si="3"/>
        <v>SI(G28-H28=-97;3;</v>
      </c>
    </row>
    <row r="97" spans="2:15" x14ac:dyDescent="0.3">
      <c r="B97" s="1" t="s">
        <v>11</v>
      </c>
      <c r="C97" s="1">
        <v>98</v>
      </c>
      <c r="D97" s="1" t="s">
        <v>12</v>
      </c>
      <c r="E97" s="1">
        <v>2</v>
      </c>
      <c r="F97" s="1" t="s">
        <v>12</v>
      </c>
      <c r="G97" s="1" t="str">
        <f t="shared" si="2"/>
        <v>SI(G28-H28=98;2;</v>
      </c>
      <c r="I97" s="1" t="s">
        <v>11</v>
      </c>
      <c r="J97" s="1" t="s">
        <v>9</v>
      </c>
      <c r="K97" s="1">
        <v>98</v>
      </c>
      <c r="L97" s="1" t="s">
        <v>12</v>
      </c>
      <c r="M97" s="1">
        <v>2</v>
      </c>
      <c r="N97" s="1" t="s">
        <v>12</v>
      </c>
      <c r="O97" s="1" t="str">
        <f t="shared" si="3"/>
        <v>SI(G28-H28=-98;2;</v>
      </c>
    </row>
    <row r="98" spans="2:15" x14ac:dyDescent="0.3">
      <c r="B98" s="1" t="s">
        <v>11</v>
      </c>
      <c r="C98" s="1">
        <v>99</v>
      </c>
      <c r="D98" s="1" t="s">
        <v>12</v>
      </c>
      <c r="E98" s="1">
        <v>1</v>
      </c>
      <c r="F98" s="1" t="s">
        <v>12</v>
      </c>
      <c r="G98" s="1" t="str">
        <f t="shared" si="2"/>
        <v>SI(G28-H28=99;1;</v>
      </c>
      <c r="I98" s="1" t="s">
        <v>11</v>
      </c>
      <c r="J98" s="1" t="s">
        <v>9</v>
      </c>
      <c r="K98" s="1">
        <v>99</v>
      </c>
      <c r="L98" s="1" t="s">
        <v>12</v>
      </c>
      <c r="M98" s="1">
        <v>1</v>
      </c>
      <c r="N98" s="1" t="s">
        <v>12</v>
      </c>
      <c r="O98" s="1" t="str">
        <f t="shared" si="3"/>
        <v>SI(G28-H28=-99;1;</v>
      </c>
    </row>
    <row r="99" spans="2:15" x14ac:dyDescent="0.3">
      <c r="B99" s="1" t="s">
        <v>11</v>
      </c>
      <c r="C99" s="1">
        <v>100</v>
      </c>
      <c r="D99" s="1" t="s">
        <v>12</v>
      </c>
      <c r="E99" s="1">
        <v>0</v>
      </c>
      <c r="F99" s="1" t="s">
        <v>12</v>
      </c>
      <c r="G99" s="1" t="str">
        <f t="shared" si="2"/>
        <v>SI(G28-H28=100;0;</v>
      </c>
      <c r="I99" s="1" t="s">
        <v>11</v>
      </c>
      <c r="J99" s="1" t="s">
        <v>9</v>
      </c>
      <c r="K99" s="1">
        <v>100</v>
      </c>
      <c r="L99" s="1" t="s">
        <v>12</v>
      </c>
      <c r="M99" s="1">
        <v>0</v>
      </c>
      <c r="N99" s="1" t="s">
        <v>12</v>
      </c>
      <c r="O99" s="1" t="str">
        <f t="shared" si="3"/>
        <v>SI(G28-H28=-100;0;</v>
      </c>
    </row>
  </sheetData>
  <sheetProtection password="C677" sheet="1" objects="1" scenarios="1"/>
  <pageMargins left="0.7" right="0.7" top="0.75" bottom="0.75" header="0.3" footer="0.3"/>
</worksheet>
</file>

<file path=docMetadata/LabelInfo.xml><?xml version="1.0" encoding="utf-8"?>
<clbl:labelList xmlns:clbl="http://schemas.microsoft.com/office/2020/mipLabelMetadata">
  <clbl:label id="{d57455e9-c73f-45d7-ad9e-430426491df9}" enabled="0" method="" siteId="{d57455e9-c73f-45d7-ad9e-430426491df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FIFA 2026</vt:lpstr>
      <vt:lpstr>Hoja1</vt:lpstr>
      <vt:lpstr>DIECISEISAVOS</vt:lpstr>
      <vt:lpstr>OCTAVOS</vt:lpstr>
      <vt:lpstr>CUARTOS</vt:lpstr>
      <vt:lpstr>SEMIFINALES Y FINALES</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cfe</dc:creator>
  <cp:lastModifiedBy>DAVID LIMON PAVIA</cp:lastModifiedBy>
  <cp:lastPrinted>2018-06-12T18:30:52Z</cp:lastPrinted>
  <dcterms:created xsi:type="dcterms:W3CDTF">2016-05-30T16:01:39Z</dcterms:created>
  <dcterms:modified xsi:type="dcterms:W3CDTF">2026-06-21T05:56:33Z</dcterms:modified>
</cp:coreProperties>
</file>