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femex-my.sharepoint.com/personal/david_limon_cfe_mx/Documents/RESPALDO DAVID LIMON/iSE/Python y Power BI/Python/quiniela_mundial_mexico_2026/"/>
    </mc:Choice>
  </mc:AlternateContent>
  <xr:revisionPtr revIDLastSave="767" documentId="8_{5BF2CA42-94C7-4CF1-99FD-A98BD95C2878}" xr6:coauthVersionLast="47" xr6:coauthVersionMax="47" xr10:uidLastSave="{79B38FE5-D8E7-4FC7-8BA0-BE581C8D6A69}"/>
  <bookViews>
    <workbookView xWindow="-108" yWindow="-108" windowWidth="23256" windowHeight="13896" xr2:uid="{00000000-000D-0000-FFFF-FFFF00000000}"/>
  </bookViews>
  <sheets>
    <sheet name="FIFA WORLD CUP MEXICO 2026" sheetId="1" r:id="rId1"/>
    <sheet name="Hoja2" sheetId="2" state="hidden" r:id="rId2"/>
    <sheet name="Hoja3" sheetId="3" state="hidden" r:id="rId3"/>
    <sheet name="pagos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6" i="1" l="1"/>
  <c r="AF81" i="1" s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4" i="1"/>
  <c r="T80" i="1" l="1"/>
  <c r="K78" i="1"/>
  <c r="U81" i="1"/>
  <c r="X79" i="1"/>
  <c r="W81" i="1"/>
  <c r="AF80" i="1"/>
  <c r="J80" i="1"/>
  <c r="M78" i="1"/>
  <c r="X81" i="1"/>
  <c r="J78" i="1"/>
  <c r="H80" i="1"/>
  <c r="J79" i="1"/>
  <c r="W79" i="1"/>
  <c r="L79" i="1"/>
  <c r="V81" i="1"/>
  <c r="Z78" i="1"/>
  <c r="L80" i="1"/>
  <c r="K81" i="1"/>
  <c r="O78" i="1"/>
  <c r="Z79" i="1"/>
  <c r="Y80" i="1"/>
  <c r="P78" i="1"/>
  <c r="AB78" i="1"/>
  <c r="O79" i="1"/>
  <c r="AA79" i="1"/>
  <c r="N80" i="1"/>
  <c r="Z80" i="1"/>
  <c r="M81" i="1"/>
  <c r="Y81" i="1"/>
  <c r="Q78" i="1"/>
  <c r="AC78" i="1"/>
  <c r="P79" i="1"/>
  <c r="AB79" i="1"/>
  <c r="O80" i="1"/>
  <c r="AA80" i="1"/>
  <c r="N81" i="1"/>
  <c r="Z81" i="1"/>
  <c r="S81" i="1"/>
  <c r="I81" i="1"/>
  <c r="AC79" i="1"/>
  <c r="U79" i="1"/>
  <c r="I80" i="1"/>
  <c r="L78" i="1"/>
  <c r="K79" i="1"/>
  <c r="K80" i="1"/>
  <c r="W80" i="1"/>
  <c r="N78" i="1"/>
  <c r="M79" i="1"/>
  <c r="X80" i="1"/>
  <c r="AA78" i="1"/>
  <c r="M80" i="1"/>
  <c r="L81" i="1"/>
  <c r="R78" i="1"/>
  <c r="Q79" i="1"/>
  <c r="AB80" i="1"/>
  <c r="O81" i="1"/>
  <c r="AA81" i="1"/>
  <c r="S78" i="1"/>
  <c r="AE78" i="1"/>
  <c r="R79" i="1"/>
  <c r="AD79" i="1"/>
  <c r="Q80" i="1"/>
  <c r="AC80" i="1"/>
  <c r="P81" i="1"/>
  <c r="AB81" i="1"/>
  <c r="V78" i="1"/>
  <c r="I79" i="1"/>
  <c r="W78" i="1"/>
  <c r="X78" i="1"/>
  <c r="V80" i="1"/>
  <c r="Y78" i="1"/>
  <c r="J81" i="1"/>
  <c r="Y79" i="1"/>
  <c r="N79" i="1"/>
  <c r="AD78" i="1"/>
  <c r="P80" i="1"/>
  <c r="H78" i="1"/>
  <c r="T78" i="1"/>
  <c r="AF78" i="1"/>
  <c r="S79" i="1"/>
  <c r="AE79" i="1"/>
  <c r="R80" i="1"/>
  <c r="AD80" i="1"/>
  <c r="Q81" i="1"/>
  <c r="AC81" i="1"/>
  <c r="I78" i="1"/>
  <c r="U78" i="1"/>
  <c r="H79" i="1"/>
  <c r="T79" i="1"/>
  <c r="AF79" i="1"/>
  <c r="S80" i="1"/>
  <c r="AE80" i="1"/>
  <c r="R81" i="1"/>
  <c r="AD81" i="1"/>
  <c r="AE81" i="1"/>
  <c r="V79" i="1"/>
  <c r="U80" i="1"/>
  <c r="H81" i="1"/>
  <c r="T81" i="1"/>
  <c r="O99" i="2"/>
  <c r="G99" i="2"/>
  <c r="O98" i="2"/>
  <c r="G98" i="2"/>
  <c r="O97" i="2"/>
  <c r="G97" i="2"/>
  <c r="O96" i="2"/>
  <c r="G96" i="2"/>
  <c r="O95" i="2"/>
  <c r="G95" i="2"/>
  <c r="O94" i="2"/>
  <c r="G94" i="2"/>
  <c r="O93" i="2"/>
  <c r="G93" i="2"/>
  <c r="O92" i="2"/>
  <c r="G92" i="2"/>
  <c r="O91" i="2"/>
  <c r="G91" i="2"/>
  <c r="O90" i="2"/>
  <c r="G90" i="2"/>
  <c r="O89" i="2"/>
  <c r="G89" i="2"/>
  <c r="O88" i="2"/>
  <c r="G88" i="2"/>
  <c r="O87" i="2"/>
  <c r="G87" i="2"/>
  <c r="O86" i="2"/>
  <c r="G86" i="2"/>
  <c r="O85" i="2"/>
  <c r="G85" i="2"/>
  <c r="O84" i="2"/>
  <c r="G84" i="2"/>
  <c r="O83" i="2"/>
  <c r="G83" i="2"/>
  <c r="O82" i="2"/>
  <c r="G82" i="2"/>
  <c r="O81" i="2"/>
  <c r="G81" i="2"/>
  <c r="O80" i="2"/>
  <c r="G80" i="2"/>
  <c r="O79" i="2"/>
  <c r="G79" i="2"/>
  <c r="O78" i="2"/>
  <c r="G78" i="2"/>
  <c r="O77" i="2"/>
  <c r="G77" i="2"/>
  <c r="O76" i="2"/>
  <c r="G76" i="2"/>
  <c r="O75" i="2"/>
  <c r="G75" i="2"/>
  <c r="O74" i="2"/>
  <c r="G74" i="2"/>
  <c r="O73" i="2"/>
  <c r="G73" i="2"/>
  <c r="O72" i="2"/>
  <c r="G72" i="2"/>
  <c r="O71" i="2"/>
  <c r="G71" i="2"/>
  <c r="O70" i="2"/>
  <c r="G70" i="2"/>
  <c r="O69" i="2"/>
  <c r="G69" i="2"/>
  <c r="O68" i="2"/>
  <c r="G68" i="2"/>
  <c r="O67" i="2"/>
  <c r="G67" i="2"/>
  <c r="O66" i="2"/>
  <c r="G66" i="2"/>
  <c r="O65" i="2"/>
  <c r="G65" i="2"/>
  <c r="O64" i="2"/>
  <c r="G64" i="2"/>
  <c r="O63" i="2"/>
  <c r="G63" i="2"/>
  <c r="O62" i="2"/>
  <c r="G62" i="2"/>
  <c r="O61" i="2"/>
  <c r="G61" i="2"/>
  <c r="O60" i="2"/>
  <c r="G60" i="2"/>
  <c r="O59" i="2"/>
  <c r="G59" i="2"/>
  <c r="O58" i="2"/>
  <c r="G58" i="2"/>
  <c r="O57" i="2"/>
  <c r="G57" i="2"/>
  <c r="O56" i="2"/>
  <c r="G56" i="2"/>
  <c r="O55" i="2"/>
  <c r="G55" i="2"/>
  <c r="O54" i="2"/>
  <c r="G54" i="2"/>
  <c r="O53" i="2"/>
  <c r="G53" i="2"/>
  <c r="O52" i="2"/>
  <c r="G52" i="2"/>
  <c r="O51" i="2"/>
  <c r="G51" i="2"/>
  <c r="O50" i="2"/>
  <c r="G50" i="2"/>
  <c r="O49" i="2"/>
  <c r="G49" i="2"/>
  <c r="O48" i="2"/>
  <c r="G48" i="2"/>
  <c r="O47" i="2"/>
  <c r="G47" i="2"/>
  <c r="O46" i="2"/>
  <c r="G46" i="2"/>
  <c r="O45" i="2"/>
  <c r="G45" i="2"/>
  <c r="O44" i="2"/>
  <c r="G44" i="2"/>
  <c r="O43" i="2"/>
  <c r="G43" i="2"/>
  <c r="O42" i="2"/>
  <c r="G42" i="2"/>
  <c r="O41" i="2"/>
  <c r="G41" i="2"/>
  <c r="O40" i="2"/>
  <c r="G40" i="2"/>
  <c r="O39" i="2"/>
  <c r="G39" i="2"/>
  <c r="O38" i="2"/>
  <c r="G38" i="2"/>
  <c r="O37" i="2"/>
  <c r="G37" i="2"/>
  <c r="O36" i="2"/>
  <c r="G36" i="2"/>
  <c r="O35" i="2"/>
  <c r="G35" i="2"/>
  <c r="O34" i="2"/>
  <c r="G34" i="2"/>
  <c r="O33" i="2"/>
  <c r="G33" i="2"/>
  <c r="O32" i="2"/>
  <c r="G32" i="2"/>
  <c r="O31" i="2"/>
  <c r="G31" i="2"/>
  <c r="O30" i="2"/>
  <c r="G30" i="2"/>
  <c r="O29" i="2"/>
  <c r="G29" i="2"/>
  <c r="O28" i="2"/>
  <c r="G28" i="2"/>
  <c r="O27" i="2"/>
  <c r="G27" i="2"/>
  <c r="O26" i="2"/>
  <c r="G26" i="2"/>
  <c r="O25" i="2"/>
  <c r="G25" i="2"/>
  <c r="O24" i="2"/>
  <c r="G24" i="2"/>
  <c r="O23" i="2"/>
  <c r="G23" i="2"/>
  <c r="O22" i="2"/>
  <c r="G22" i="2"/>
  <c r="O21" i="2"/>
  <c r="G21" i="2"/>
  <c r="O20" i="2"/>
  <c r="G20" i="2"/>
  <c r="O19" i="2"/>
  <c r="G19" i="2"/>
  <c r="O18" i="2"/>
  <c r="G18" i="2"/>
  <c r="O17" i="2"/>
  <c r="G17" i="2"/>
  <c r="O16" i="2"/>
  <c r="G16" i="2"/>
  <c r="O15" i="2"/>
  <c r="G15" i="2"/>
  <c r="O14" i="2"/>
  <c r="G14" i="2"/>
  <c r="O13" i="2"/>
  <c r="G13" i="2"/>
  <c r="O12" i="2"/>
  <c r="G12" i="2"/>
  <c r="O11" i="2"/>
  <c r="G11" i="2"/>
  <c r="O10" i="2"/>
  <c r="G10" i="2"/>
  <c r="O9" i="2"/>
  <c r="G9" i="2"/>
  <c r="O8" i="2"/>
  <c r="G8" i="2"/>
  <c r="O7" i="2"/>
  <c r="G7" i="2"/>
  <c r="O6" i="2"/>
  <c r="G6" i="2"/>
  <c r="O5" i="2"/>
  <c r="G5" i="2"/>
  <c r="O4" i="2"/>
  <c r="G4" i="2"/>
  <c r="O3" i="2"/>
  <c r="G3" i="2"/>
  <c r="O2" i="2"/>
  <c r="G2" i="2"/>
  <c r="O1" i="2"/>
  <c r="G1" i="2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Z77" i="1" l="1"/>
  <c r="J77" i="1"/>
  <c r="AB77" i="1"/>
  <c r="U77" i="1"/>
  <c r="P77" i="1"/>
  <c r="V77" i="1"/>
  <c r="V3" i="1" s="1"/>
  <c r="S77" i="1"/>
  <c r="R77" i="1"/>
  <c r="L77" i="1"/>
  <c r="L3" i="1" s="1"/>
  <c r="X77" i="1"/>
  <c r="N77" i="1"/>
  <c r="AF77" i="1"/>
  <c r="AF3" i="1" s="1"/>
  <c r="K77" i="1"/>
  <c r="AC77" i="1"/>
  <c r="Q77" i="1"/>
  <c r="H77" i="1"/>
  <c r="T77" i="1"/>
  <c r="O77" i="1"/>
  <c r="M77" i="1"/>
  <c r="I77" i="1"/>
  <c r="I3" i="1" s="1"/>
  <c r="Y77" i="1"/>
  <c r="AD77" i="1"/>
  <c r="AD3" i="1" s="1"/>
  <c r="AE77" i="1"/>
  <c r="AA77" i="1"/>
  <c r="W77" i="1"/>
  <c r="M3" i="1"/>
  <c r="H3" i="1"/>
  <c r="K3" i="1"/>
  <c r="R3" i="1"/>
  <c r="T3" i="1"/>
  <c r="X3" i="1"/>
  <c r="AB3" i="1"/>
  <c r="Z3" i="1"/>
  <c r="AE3" i="1"/>
  <c r="AC3" i="1"/>
  <c r="AA3" i="1"/>
  <c r="Y3" i="1"/>
  <c r="W3" i="1"/>
  <c r="U3" i="1"/>
  <c r="S3" i="1"/>
  <c r="O3" i="1"/>
  <c r="Q3" i="1"/>
  <c r="N3" i="1"/>
  <c r="J3" i="1"/>
  <c r="P3" i="1"/>
</calcChain>
</file>

<file path=xl/sharedStrings.xml><?xml version="1.0" encoding="utf-8"?>
<sst xmlns="http://schemas.openxmlformats.org/spreadsheetml/2006/main" count="1696" uniqueCount="116">
  <si>
    <t>GRUPOS</t>
  </si>
  <si>
    <t># de partidos</t>
  </si>
  <si>
    <t>LOCAL</t>
  </si>
  <si>
    <t>VISITANTE</t>
  </si>
  <si>
    <t>GOLES    L   -  V</t>
  </si>
  <si>
    <t>RESULTADOS ACIERTOS</t>
  </si>
  <si>
    <t>A</t>
  </si>
  <si>
    <t>B</t>
  </si>
  <si>
    <t>C</t>
  </si>
  <si>
    <t>D</t>
  </si>
  <si>
    <t>E</t>
  </si>
  <si>
    <t>F</t>
  </si>
  <si>
    <t>G</t>
  </si>
  <si>
    <t>H</t>
  </si>
  <si>
    <t>TOTAL DE GOLES</t>
  </si>
  <si>
    <t>CRITERIO DE DESEMPATE DIFERENCIA DE GOLES</t>
  </si>
  <si>
    <t>SI(G28-H28=</t>
  </si>
  <si>
    <t>;</t>
  </si>
  <si>
    <t>SI(G28-H28=2;98;SI(G28-H28=-2;98;SI(G28-H28=3;97;SI(G28-H28=-3;97;SI(G28-H28=4;96;SI(G28-H28=-4;96;SI(G28-H28=5;95;SI(G28-H28=-5;95;SI(G28-H28=6;94;SI(G28-H28=-6;94;SI(G28-H28=7;93;SI(G28-H28=-7;93;SI(G28-H28=8;92;SI(G28-H28=-8;92;SI(G28-H28=9;91;SI(G28-H28=-9;91;SI(G28-H28=10;90;SI(G28-H28=-10;90;SI(G28-H28=11;89;SI(G28-H28=-11;89;SI(G28-H28=12;88;SI(G28-H28=-12;88;SI(G28-H28=13;87;SI(G28-H28=-13;87;SI(G28-H28=14;86;SI(G28-H28=-14;86;SI(G28-H28=15;85;SI(G28-H28=-15;85;SI(G28-H28=16;84;SI(G28-H28=-16;84;SI(G28-H28=17;83;SI(G28-H28=-17;83;SI(G28-H28=18;82;SI(G28-H28=-18;82;SI(G28-H28=19;81;SI(G28-H28=-19;81;SI(G28-H28=20;80;SI(G28-H28=-20;80;SI(G28-H28=21;79;SI(G28-H28=-21;79;SI(G28-H28=22;78;SI(G28-H28=-22;78;SI(G28-H28=23;77;SI(G28-H28=-23;77;SI(G28-H28=24;76;SI(G28-H28=-24;76;SI(G28-H28=25;75;SI(G28-H28=-25;75;SI(G28-H28=26;74;SI(G28-H28=-26;74;SI(G28-H28=27;73;SI(G28-H28=-27;73;SI(G28-H28=28;72;SI(G28-H28=-28;72;SI(G28-H28=29;71;SI(G28-H28=-29;71;SI(G28-H28=30;70;SI(G28-H28=-30;70;SI(G28-H28=31;69;SI(G28-H28=-31;69;SI(G28-H28=32;68;SI(G28-H28=-32;68;SI(G28-H28=33;67;SI(G28-H28=-33;67;SI(G28-H28=34;66;SI(G28-H28=-34;66;SI(G28-H28=35;65;SI(G28-H28=-35;65;SI(G28-H28=36;64;SI(G28-H28=-36;64;SI(G28-H28=37;63;SI(G28-H28=-37;63;SI(G28-H28=38;62;SI(G28-H28=-38;62;SI(G28-H28=39;61;SI(G28-H28=-39;61;SI(G28-H28=40;60;SI(G28-H28=-40;60;SI(G28-H28=41;59;SI(G28-H28=-41;59;SI(G28-H28=42;58;SI(G28-H28=-42;58;SI(G28-H28=43;57;SI(G28-H28=-43;57;SI(G28-H28=44;56;SI(G28-H28=-44;56;SI(G28-H28=45;55;SI(G28-H28=-45;55;SI(G28-H28=46;54;SI(G28-H28=-46;54;SI(G28-H28=47;53;SI(G28-H28=-47;53;SI(G28-H28=48;52;SI(G28-H28=-48;52;SI(G28-H28=49;51;SI(G28-H28=-49;51;SI(G28-H28=50;50;SI(G28-H28=-50;50;SI(G28-H28=51;49;SI(G28-H28=-51;49;SI(G28-H28=52;48;SI(G28-H28=-52;48;SI(G28-H28=53;47;SI(G28-H28=-53;47;SI(G28-H28=54;46;SI(G28-H28=-54;46;SI(G28-H28=55;45;SI(G28-H28=-55;45;SI(G28-H28=56;44;SI(G28-H28=-56;44;SI(G28-H28=57;43;SI(G28-H28=-57;43;SI(G28-H28=58;42;SI(G28-H28=-58;42;SI(G28-H28=59;41;SI(G28-H28=-59;41;SI(G28-H28=60;40;SI(G28-H28=-60;40;SI(G28-H28=61;39;SI(G28-H28=-61;39;SI(G28-H28=62;38;SI(G28-H28=-62;38;SI(G28-H28=63;37;SI(G28-H28=-63;37;SI(G28-H28=64;36;SI(G28-H28=-64;36;SI(G28-H28=65;35;SI(G28-H28=-65;35;SI(G28-H28=66;34;SI(G28-H28=-66;34;SI(G28-H28=67;33;SI(G28-H28=-67;33;SI(G28-H28=68;32;SI(G28-H28=-68;32;SI(G28-H28=69;31;SI(G28-H28=-69;31;SI(G28-H28=70;30;SI(G28-H28=-70;30;SI(G28-H28=71;29;SI(G28-H28=-71;29;SI(G28-H28=72;28;SI(G28-H28=-72;28;SI(G28-H28=73;27;SI(G28-H28=-73;27;SI(G28-H28=74;26;SI(G28-H28=-74;26;SI(G28-H28=75;25;SI(G28-H28=-75;25;SI(G28-H28=76;24;SI(G28-H28=-76;24;SI(G28-H28=77;23;SI(G28-H28=-77;23;SI(G28-H28=78;22;SI(G28-H28=-78;22;SI(G28-H28=79;21;SI(G28-H28=-79;21;SI(G28-H28=80;20;SI(G28-H28=-80;20;SI(G28-H28=81;19;SI(G28-H28=-81;19;SI(G28-H28=82;18;SI(G28-H28=-82;18;SI(G28-H28=83;17;SI(G28-H28=-83;17;SI(G28-H28=84;16;SI(G28-H28=-84;16;SI(G28-H28=85;15;SI(G28-H28=-85;15;SI(G28-H28=86;14;SI(G28-H28=-86;14;SI(G28-H28=87;13;SI(G28-H28=-87;13;SI(G28-H28=88;12;SI(G28-H28=-88;12;SI(G28-H28=89;11;SI(G28-H28=-89;11;SI(G28-H28=90;10;SI(G28-H28=-90;10;SI(G28-H28=91;9;SI(G28-H28=-91;9;SI(G28-H28=92;8;SI(G28-H28=-92;8;SI(G28-H28=93;7;SI(G28-H28=-93;7;SI(G28-H28=94;6;SI(G28-H28=-94;6;SI(G28-H28=95;5;SI(G28-H28=-95;5;SI(G28-H28=96;4;SI(G28-H28=-96;4;SI(G28-H28=97;3;SI(G28-H28=-97;3;SI(G28-H28=98;2;SI(G28-H28=-98;2;SI(G28-H28=99;1;SI(G28-H28=-99;1;SI(G28-H28=100;0;SI(G28-H28=-100;0;""</t>
  </si>
  <si>
    <t>-</t>
  </si>
  <si>
    <t>OSCAR PEÑA</t>
  </si>
  <si>
    <t>MOTOR</t>
  </si>
  <si>
    <t>LIMON</t>
  </si>
  <si>
    <t>PAGADO</t>
  </si>
  <si>
    <t>LUIS FERNANDO</t>
  </si>
  <si>
    <t>MIKE</t>
  </si>
  <si>
    <t>CRISTIAN MUÑOZ</t>
  </si>
  <si>
    <t>NICOLAS BAZAN</t>
  </si>
  <si>
    <t>MARIO ALBERTO</t>
  </si>
  <si>
    <t>CARLOS CRUZ</t>
  </si>
  <si>
    <t>EDUARDO RUIZ</t>
  </si>
  <si>
    <t>JONHATAN SALGADO</t>
  </si>
  <si>
    <t xml:space="preserve">FELIPE </t>
  </si>
  <si>
    <t>RICARDO ROCHE</t>
  </si>
  <si>
    <t>ALEX VALDES</t>
  </si>
  <si>
    <t>POLO</t>
  </si>
  <si>
    <t>JUAN VILLEGAS</t>
  </si>
  <si>
    <t>MARCO ARZATE</t>
  </si>
  <si>
    <t>HUGO ALONSO</t>
  </si>
  <si>
    <t>HUMBERTO DOMINGUEZ</t>
  </si>
  <si>
    <t>RODOLFO</t>
  </si>
  <si>
    <t>VICENTIN</t>
  </si>
  <si>
    <t>VÍCTOR HERNÁNDEZ</t>
  </si>
  <si>
    <t>ALEX ESTRADA</t>
  </si>
  <si>
    <t>MYRIAM</t>
  </si>
  <si>
    <t>ALDO</t>
  </si>
  <si>
    <t>L</t>
  </si>
  <si>
    <t>COPA MUNDIAL MEXICO 2026</t>
  </si>
  <si>
    <t>MEXICO</t>
  </si>
  <si>
    <t>SUDAFRICA</t>
  </si>
  <si>
    <t xml:space="preserve">COREA DEL SUR </t>
  </si>
  <si>
    <t>REP. CHECA</t>
  </si>
  <si>
    <t>CANADA</t>
  </si>
  <si>
    <t>BOSNIA H.</t>
  </si>
  <si>
    <t>EUA</t>
  </si>
  <si>
    <t>PARAGUAY</t>
  </si>
  <si>
    <t>QATAR</t>
  </si>
  <si>
    <t>SUIZA</t>
  </si>
  <si>
    <t>BRASIL</t>
  </si>
  <si>
    <t>MARRUECOS</t>
  </si>
  <si>
    <t>ESCOCIA</t>
  </si>
  <si>
    <t>AUSTRALIA</t>
  </si>
  <si>
    <t>TURQUIA</t>
  </si>
  <si>
    <t>ALEMANIA</t>
  </si>
  <si>
    <t>CURAZAO</t>
  </si>
  <si>
    <t>PAISES BAJOS</t>
  </si>
  <si>
    <t>COSTA DE MARFIL</t>
  </si>
  <si>
    <t>ECUADOR</t>
  </si>
  <si>
    <t>SUECIA</t>
  </si>
  <si>
    <t>ESPAÑA</t>
  </si>
  <si>
    <t>CABO VERDE</t>
  </si>
  <si>
    <t>BELGICA</t>
  </si>
  <si>
    <t>EGIPTO</t>
  </si>
  <si>
    <t>ARABAI SAUDITA</t>
  </si>
  <si>
    <t>URUGUAY</t>
  </si>
  <si>
    <t>IRAN</t>
  </si>
  <si>
    <t>NUEVA ZELANDA</t>
  </si>
  <si>
    <t>I</t>
  </si>
  <si>
    <t>J</t>
  </si>
  <si>
    <t>K</t>
  </si>
  <si>
    <t>FRANCIA</t>
  </si>
  <si>
    <t>SENEGAL</t>
  </si>
  <si>
    <t>IRAK</t>
  </si>
  <si>
    <t>NORUEGA</t>
  </si>
  <si>
    <t>ARGENTINA</t>
  </si>
  <si>
    <t>ARGELIA</t>
  </si>
  <si>
    <t>AUSTRIA</t>
  </si>
  <si>
    <t>JORDANIA</t>
  </si>
  <si>
    <t>PORTUGAL</t>
  </si>
  <si>
    <t>RD CONGO</t>
  </si>
  <si>
    <t>INGLATERRA</t>
  </si>
  <si>
    <t>CROACIA</t>
  </si>
  <si>
    <t xml:space="preserve">GHANA </t>
  </si>
  <si>
    <t>PANAMA</t>
  </si>
  <si>
    <t>UZBEKISTAN</t>
  </si>
  <si>
    <t>COLOMBIA</t>
  </si>
  <si>
    <t>COREA DEL SUR</t>
  </si>
  <si>
    <t>HAITÍ</t>
  </si>
  <si>
    <t>TÚNEZ</t>
  </si>
  <si>
    <t>JAPÓN</t>
  </si>
  <si>
    <t>ARABIA SAUDITA</t>
  </si>
  <si>
    <t xml:space="preserve">"EL QUE APUESTA POR CONVIVIR, TERMINA PAGANDO LAS CHELAS" </t>
  </si>
  <si>
    <t>David</t>
  </si>
  <si>
    <t>COSTO ENTRADA $300.00</t>
  </si>
  <si>
    <t>V</t>
  </si>
  <si>
    <t>Teté</t>
  </si>
  <si>
    <t>Paty</t>
  </si>
  <si>
    <t>SAM</t>
  </si>
  <si>
    <t>Yaya</t>
  </si>
  <si>
    <t>Yayo</t>
  </si>
  <si>
    <t xml:space="preserve"> E</t>
  </si>
  <si>
    <t>Fer Marin</t>
  </si>
  <si>
    <t>JORGE</t>
  </si>
  <si>
    <t>Ivan</t>
  </si>
  <si>
    <t>Armandin</t>
  </si>
  <si>
    <t>Brenda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</si>
</sst>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</font>
    <font>
      <sz val="8"/>
      <color rgb="FF000000"/>
      <name val="Calibri"/>
      <family val="2"/>
    </font>
    <font>
      <b/>
      <sz val="12"/>
      <color rgb="FFFFFFFF"/>
      <name val="Calibri"/>
      <family val="2"/>
    </font>
    <font>
      <sz val="12"/>
      <name val="Calibri"/>
      <family val="2"/>
    </font>
    <font>
      <sz val="11"/>
      <color rgb="FF000000"/>
      <name val="Calibri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  <font>
      <b/>
      <sz val="12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</font>
  </fonts>
  <fills count="24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74806"/>
        <bgColor rgb="FF974806"/>
      </patternFill>
    </fill>
    <fill>
      <patternFill patternType="solid">
        <fgColor rgb="FFD8D8D8"/>
        <bgColor rgb="FFD8D8D8"/>
      </patternFill>
    </fill>
    <fill>
      <patternFill patternType="solid">
        <fgColor rgb="FFC6D9F0"/>
        <bgColor rgb="FFC6D9F0"/>
      </patternFill>
    </fill>
    <fill>
      <patternFill patternType="solid">
        <fgColor rgb="FFE5DFEC"/>
        <bgColor rgb="FFE5DFEC"/>
      </patternFill>
    </fill>
    <fill>
      <patternFill patternType="solid">
        <fgColor rgb="FFDAEEF3"/>
        <bgColor rgb="FFDAEEF3"/>
      </patternFill>
    </fill>
    <fill>
      <patternFill patternType="solid">
        <fgColor rgb="FFF2DBDB"/>
        <bgColor rgb="FFF2DBDB"/>
      </patternFill>
    </fill>
    <fill>
      <patternFill patternType="solid">
        <fgColor rgb="FFEAF1DD"/>
        <bgColor rgb="FFEAF1DD"/>
      </patternFill>
    </fill>
    <fill>
      <patternFill patternType="solid">
        <fgColor rgb="FFDDD9C3"/>
        <bgColor rgb="FFDDD9C3"/>
      </patternFill>
    </fill>
    <fill>
      <patternFill patternType="solid">
        <fgColor rgb="FFC2D69B"/>
        <bgColor rgb="FFC2D69B"/>
      </patternFill>
    </fill>
    <fill>
      <patternFill patternType="solid">
        <fgColor rgb="FF002060"/>
        <bgColor rgb="FF002060"/>
      </patternFill>
    </fill>
    <fill>
      <patternFill patternType="solid">
        <fgColor rgb="FFB6DDE8"/>
        <bgColor rgb="FFB6DDE8"/>
      </patternFill>
    </fill>
    <fill>
      <patternFill patternType="solid">
        <fgColor rgb="FFC4BD97"/>
        <bgColor rgb="FFC4BD97"/>
      </patternFill>
    </fill>
    <fill>
      <patternFill patternType="solid">
        <fgColor theme="4"/>
        <bgColor rgb="FF974806"/>
      </patternFill>
    </fill>
    <fill>
      <patternFill patternType="solid">
        <fgColor rgb="FF00B050"/>
        <bgColor rgb="FF000000"/>
      </patternFill>
    </fill>
    <fill>
      <patternFill patternType="solid">
        <fgColor theme="3" tint="0.79998168889431442"/>
        <bgColor rgb="FFEAF1DD"/>
      </patternFill>
    </fill>
    <fill>
      <patternFill patternType="solid">
        <fgColor theme="5" tint="0.79998168889431442"/>
        <bgColor rgb="FFDDD9C3"/>
      </patternFill>
    </fill>
    <fill>
      <patternFill patternType="solid">
        <fgColor theme="6" tint="0.79998168889431442"/>
        <bgColor rgb="FFC2D69B"/>
      </patternFill>
    </fill>
    <fill>
      <patternFill patternType="solid">
        <fgColor theme="7" tint="0.79998168889431442"/>
        <bgColor rgb="FFD8D8D8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4" fillId="0" borderId="4"/>
    <xf numFmtId="0" fontId="10" fillId="0" borderId="4"/>
  </cellStyleXfs>
  <cellXfs count="66">
    <xf numFmtId="0" fontId="0" fillId="0" borderId="0" xfId="0"/>
    <xf numFmtId="0" fontId="0" fillId="0" borderId="0" xfId="0" applyAlignment="1">
      <alignment horizontal="center" vertical="center"/>
    </xf>
    <xf numFmtId="0" fontId="2" fillId="15" borderId="4" xfId="0" applyFont="1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20" borderId="5" xfId="0" applyFont="1" applyFill="1" applyBorder="1" applyAlignment="1">
      <alignment horizontal="center" vertical="center"/>
    </xf>
    <xf numFmtId="0" fontId="5" fillId="21" borderId="5" xfId="0" applyFont="1" applyFill="1" applyBorder="1" applyAlignment="1">
      <alignment horizontal="center" vertical="center"/>
    </xf>
    <xf numFmtId="0" fontId="5" fillId="22" borderId="5" xfId="0" applyFont="1" applyFill="1" applyBorder="1" applyAlignment="1">
      <alignment horizontal="center" vertical="center"/>
    </xf>
    <xf numFmtId="0" fontId="5" fillId="23" borderId="5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6" borderId="5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textRotation="255" wrapText="1"/>
    </xf>
    <xf numFmtId="0" fontId="7" fillId="0" borderId="5" xfId="1" applyFont="1" applyBorder="1" applyAlignment="1">
      <alignment horizontal="center" vertical="center" textRotation="255" wrapText="1"/>
    </xf>
    <xf numFmtId="0" fontId="9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5" fillId="7" borderId="6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6" fillId="8" borderId="8" xfId="0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10" xfId="0" applyFont="1" applyBorder="1"/>
    <xf numFmtId="0" fontId="6" fillId="14" borderId="8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6" fillId="12" borderId="8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0" fontId="6" fillId="10" borderId="8" xfId="0" applyFont="1" applyFill="1" applyBorder="1" applyAlignment="1">
      <alignment horizontal="center" vertical="center"/>
    </xf>
    <xf numFmtId="0" fontId="7" fillId="19" borderId="11" xfId="0" applyFont="1" applyFill="1" applyBorder="1" applyAlignment="1">
      <alignment horizontal="center" vertical="center" wrapText="1"/>
    </xf>
    <xf numFmtId="0" fontId="7" fillId="19" borderId="12" xfId="0" applyFont="1" applyFill="1" applyBorder="1" applyAlignment="1">
      <alignment horizontal="center" vertical="center" wrapText="1"/>
    </xf>
    <xf numFmtId="0" fontId="2" fillId="18" borderId="6" xfId="0" applyFont="1" applyFill="1" applyBorder="1" applyAlignment="1">
      <alignment horizontal="center" vertical="center" wrapText="1"/>
    </xf>
    <xf numFmtId="0" fontId="2" fillId="18" borderId="13" xfId="0" applyFont="1" applyFill="1" applyBorder="1" applyAlignment="1">
      <alignment horizontal="center" vertical="center" wrapText="1"/>
    </xf>
    <xf numFmtId="0" fontId="2" fillId="18" borderId="7" xfId="0" applyFont="1" applyFill="1" applyBorder="1" applyAlignment="1">
      <alignment horizontal="center" vertical="center" wrapText="1"/>
    </xf>
    <xf numFmtId="0" fontId="6" fillId="22" borderId="8" xfId="0" applyFont="1" applyFill="1" applyBorder="1" applyAlignment="1">
      <alignment horizontal="center" vertical="center"/>
    </xf>
    <xf numFmtId="0" fontId="6" fillId="22" borderId="9" xfId="0" applyFont="1" applyFill="1" applyBorder="1" applyAlignment="1">
      <alignment horizontal="center" vertical="center"/>
    </xf>
    <xf numFmtId="0" fontId="6" fillId="22" borderId="10" xfId="0" applyFont="1" applyFill="1" applyBorder="1" applyAlignment="1">
      <alignment horizontal="center" vertical="center"/>
    </xf>
    <xf numFmtId="0" fontId="6" fillId="23" borderId="8" xfId="0" applyFont="1" applyFill="1" applyBorder="1" applyAlignment="1">
      <alignment horizontal="center" vertical="center"/>
    </xf>
    <xf numFmtId="0" fontId="6" fillId="23" borderId="9" xfId="0" applyFont="1" applyFill="1" applyBorder="1" applyAlignment="1">
      <alignment horizontal="center" vertical="center"/>
    </xf>
    <xf numFmtId="0" fontId="6" fillId="23" borderId="10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6" fillId="20" borderId="8" xfId="0" applyFont="1" applyFill="1" applyBorder="1" applyAlignment="1">
      <alignment horizontal="center" vertical="center"/>
    </xf>
    <xf numFmtId="0" fontId="6" fillId="20" borderId="9" xfId="0" applyFont="1" applyFill="1" applyBorder="1" applyAlignment="1">
      <alignment horizontal="center" vertical="center"/>
    </xf>
    <xf numFmtId="0" fontId="6" fillId="20" borderId="10" xfId="0" applyFont="1" applyFill="1" applyBorder="1" applyAlignment="1">
      <alignment horizontal="center" vertical="center"/>
    </xf>
    <xf numFmtId="0" fontId="6" fillId="21" borderId="8" xfId="0" applyFont="1" applyFill="1" applyBorder="1" applyAlignment="1">
      <alignment horizontal="center" vertical="center"/>
    </xf>
    <xf numFmtId="0" fontId="6" fillId="21" borderId="9" xfId="0" applyFont="1" applyFill="1" applyBorder="1" applyAlignment="1">
      <alignment horizontal="center" vertical="center"/>
    </xf>
    <xf numFmtId="0" fontId="6" fillId="21" borderId="10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CDE2DAD8-18C9-498B-94D4-DF142B136E21}"/>
    <cellStyle name="Normal 3" xfId="2" xr:uid="{E78B5277-1D27-424B-A76E-597236430B2A}"/>
  </cellStyles>
  <dxfs count="1">
    <dxf>
      <font>
        <b/>
      </font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24"/>
  <sheetViews>
    <sheetView showGridLines="0" tabSelected="1" zoomScale="70" zoomScaleNormal="70" workbookViewId="0">
      <selection activeCell="T11" sqref="T11"/>
    </sheetView>
  </sheetViews>
  <sheetFormatPr baseColWidth="10" defaultColWidth="14.44140625" defaultRowHeight="15" customHeight="1" x14ac:dyDescent="0.3"/>
  <cols>
    <col min="1" max="1" width="10.33203125" customWidth="1"/>
    <col min="2" max="2" width="8.88671875" customWidth="1"/>
    <col min="3" max="4" width="16.6640625" bestFit="1" customWidth="1"/>
    <col min="5" max="6" width="4" customWidth="1"/>
    <col min="7" max="7" width="15.109375" customWidth="1"/>
    <col min="8" max="9" width="5.6640625" customWidth="1"/>
    <col min="10" max="10" width="7.109375" bestFit="1" customWidth="1"/>
    <col min="11" max="13" width="5.6640625" customWidth="1"/>
    <col min="14" max="14" width="6.88671875" bestFit="1" customWidth="1"/>
    <col min="15" max="32" width="5.6640625" customWidth="1"/>
  </cols>
  <sheetData>
    <row r="1" spans="1:32" ht="25.5" customHeight="1" x14ac:dyDescent="0.3">
      <c r="A1" s="32" t="s">
        <v>101</v>
      </c>
      <c r="B1" s="33"/>
      <c r="C1" s="33"/>
      <c r="D1" s="33"/>
      <c r="E1" s="33"/>
      <c r="F1" s="33"/>
      <c r="G1" s="34"/>
      <c r="H1" s="19">
        <v>1</v>
      </c>
      <c r="I1" s="19">
        <v>2</v>
      </c>
      <c r="J1" s="19">
        <v>3</v>
      </c>
      <c r="K1" s="20">
        <v>4</v>
      </c>
      <c r="L1" s="20">
        <v>5</v>
      </c>
      <c r="M1" s="20">
        <v>6</v>
      </c>
      <c r="N1" s="20">
        <v>7</v>
      </c>
      <c r="O1" s="20">
        <v>8</v>
      </c>
      <c r="P1" s="20">
        <v>9</v>
      </c>
      <c r="Q1" s="20">
        <v>10</v>
      </c>
      <c r="R1" s="20">
        <v>11</v>
      </c>
      <c r="S1" s="20">
        <v>12</v>
      </c>
      <c r="T1" s="20">
        <v>13</v>
      </c>
      <c r="U1" s="20">
        <v>14</v>
      </c>
      <c r="V1" s="20">
        <v>15</v>
      </c>
      <c r="W1" s="20">
        <v>16</v>
      </c>
      <c r="X1" s="20">
        <v>17</v>
      </c>
      <c r="Y1" s="20">
        <v>18</v>
      </c>
      <c r="Z1" s="20">
        <v>19</v>
      </c>
      <c r="AA1" s="20">
        <v>20</v>
      </c>
      <c r="AB1" s="20">
        <v>21</v>
      </c>
      <c r="AC1" s="20">
        <v>22</v>
      </c>
      <c r="AD1" s="20">
        <v>23</v>
      </c>
      <c r="AE1" s="20">
        <v>24</v>
      </c>
      <c r="AF1" s="21">
        <v>25</v>
      </c>
    </row>
    <row r="2" spans="1:32" ht="140.4" customHeight="1" x14ac:dyDescent="0.3">
      <c r="A2" s="46" t="s">
        <v>47</v>
      </c>
      <c r="B2" s="46"/>
      <c r="C2" s="47"/>
      <c r="D2" s="48" t="s">
        <v>103</v>
      </c>
      <c r="E2" s="49"/>
      <c r="F2" s="49"/>
      <c r="G2" s="50"/>
      <c r="H2" s="30" t="s">
        <v>106</v>
      </c>
      <c r="I2" s="29" t="s">
        <v>114</v>
      </c>
      <c r="J2" s="30" t="s">
        <v>107</v>
      </c>
      <c r="K2" s="30" t="s">
        <v>108</v>
      </c>
      <c r="L2" s="29" t="s">
        <v>111</v>
      </c>
      <c r="M2" s="29" t="s">
        <v>102</v>
      </c>
      <c r="N2" s="30" t="s">
        <v>109</v>
      </c>
      <c r="O2" s="29" t="s">
        <v>115</v>
      </c>
      <c r="P2" s="30" t="s">
        <v>105</v>
      </c>
      <c r="Q2" s="29" t="s">
        <v>113</v>
      </c>
      <c r="R2" s="29" t="s">
        <v>112</v>
      </c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</row>
    <row r="3" spans="1:32" ht="27.75" customHeight="1" x14ac:dyDescent="0.3">
      <c r="A3" s="14" t="s">
        <v>0</v>
      </c>
      <c r="B3" s="22" t="s">
        <v>1</v>
      </c>
      <c r="C3" s="14" t="s">
        <v>2</v>
      </c>
      <c r="D3" s="14" t="s">
        <v>3</v>
      </c>
      <c r="E3" s="35" t="s">
        <v>4</v>
      </c>
      <c r="F3" s="36"/>
      <c r="G3" s="22" t="s">
        <v>5</v>
      </c>
      <c r="H3" s="14">
        <f>SUM(IF(H4=$G$4,1,0)+IF(H5=$G$5,1,0)+IF(H6=$G$6,1,0)+IF(H7=$G$7,1,0)+IF(H8=$G$8,1,0)+IF(H9=$G$9,1,0)+IF(H10=$G$10,1,0)+IF(H11=$G$11,1,0)+IF(H12=$G$12,1,0)+IF(H13=$G$13,1,0)+IF(H14=$G$14,1,0)+IF(H15=$G$15,1,0)+IF(H16=$G$16,1,0)+IF(H17=$G$17,1,0)+IF(H18=$G$18,1,0)+IF(H19=$G$19,1,0)+IF(H20=$G$20,1,0)+IF(H21=$G$21,1,0)+IF(H22=$G$22,1,0)+IF(H23=$G$23,1,0)+IF(H24=$G$24,1,0)+IF(H25=$G$25,1,0)+IF(H26=$G$26,1,0)+IF(H27=$G$27,1,0)+IF(H28=$G$28,1,0)+IF(H29=$G$29,1,0)+IF(H30=$G$30,1,0)+IF(H31=$G$31,1,0)+IF(H32=$G$32,1,0)+IF(H33=$G$33,1,0)+IF(H34=$G$34,1,0)+IF(H35=$G$35,1,0)+IF(H36=$G$36,1,0)+IF(H37=$G$37,1,0)+IF(H38=$G$38,1,0)+IF(H39=$G$39,1,0))</f>
        <v>6</v>
      </c>
      <c r="I3" s="14">
        <f>SUM(IF(I4=$G$4,1,0)+IF(I5=$G$5,1,0)+IF(I6=$G$6,1,0)+IF(I7=$G$7,1,0)+IF(I8=$G$8,1,0)+IF(I9=$G$9,1,0)+IF(I10=$G$10,1,0)+IF(I11=$G$11,1,0)+IF(I12=$G$12,1,0)+IF(I13=$G$13,1,0)+IF(I14=$G$14,1,0)+IF(I15=$G$15,1,0)+IF(I16=$G$16,1,0)+IF(I17=$G$17,1,0)+IF(I18=$G$18,1,0)+IF(I19=$G$19,1,0)+IF(I20=$G$20,1,0)+IF(I21=$G$21,1,0)+IF(I22=$G$22,1,0)+IF(I23=$G$23,1,0)+IF(I24=$G$24,1,0)+IF(I25=$G$25,1,0)+IF(I26=$G$26,1,0)+IF(I27=$G$27,1,0)+IF(I28=$G$28,1,0)+IF(I29=$G$29,1,0)+IF(I30=$G$30,1,0)+IF(I31=$G$31,1,0)+IF(I32=$G$32,1,0)+IF(I33=$G$33,1,0)+IF(I34=$G$34,1,0)+IF(I35=$G$35,1,0)+IF(I36=$G$36,1,0)+IF(I37=$G$37,1,0)+IF(I38=$G$38,1,0)+IF(I39=$G$39,1,0))</f>
        <v>6</v>
      </c>
      <c r="J3" s="14">
        <f>SUM(IF(J4=$G$4,1,0)+IF(J5=$G$5,1,0)+IF(J6=$G$6,1,0)+IF(J7=$G$7,1,0)+IF(J8=$G$8,1,0)+IF(J9=$G$9,1,0)+IF(J10=$G$10,1,0)+IF(J11=$G$11,1,0)+IF(J12=$G$12,1,0)+IF(J13=$G$13,1,0)+IF(J14=$G$14,1,0)+IF(J15=$G$15,1,0)+IF(J16=$G$16,1,0)+IF(J17=$G$17,1,0)+IF(J18=$G$18,1,0)+IF(J19=$G$19,1,0)+IF(J20=$G$20,1,0)+IF(J21=$G$21,1,0)+IF(J22=$G$22,1,0)+IF(J23=$G$23,1,0)+IF(J24=$G$24,1,0)+IF(J25=$G$25,1,0)+IF(J26=$G$26,1,0)+IF(J27=$G$27,1,0)+IF(J28=$G$28,1,0)+IF(J29=$G$29,1,0)+IF(J30=$G$30,1,0)+IF(J31=$G$31,1,0)+IF(J32=$G$32,1,0)+IF(J33=$G$33,1,0)+IF(J34=$G$34,1,0)+IF(J35=$G$35,1,0)+IF(J36=$G$36,1,0)+IF(J37=$G$37,1,0)+IF(J38=$G$38,1,0)+IF(J39=$G$39,1,0))</f>
        <v>5</v>
      </c>
      <c r="K3" s="14">
        <f>SUM(IF(K4=$G$4,1,0)+IF(K5=$G$5,1,0)+IF(K6=$G$6,1,0)+IF(K7=$G$7,1,0)+IF(K8=$G$8,1,0)+IF(K9=$G$9,1,0)+IF(K10=$G$10,1,0)+IF(K11=$G$11,1,0)+IF(K12=$G$12,1,0)+IF(K13=$G$13,1,0)+IF(K14=$G$14,1,0)+IF(K15=$G$15,1,0)+IF(K16=$G$16,1,0)+IF(K17=$G$17,1,0)+IF(K18=$G$18,1,0)+IF(K19=$G$19,1,0)+IF(K20=$G$20,1,0)+IF(K21=$G$21,1,0)+IF(K22=$G$22,1,0)+IF(K23=$G$23,1,0)+IF(K24=$G$24,1,0)+IF(K25=$G$25,1,0)+IF(K26=$G$26,1,0)+IF(K27=$G$27,1,0)+IF(K28=$G$28,1,0)+IF(K29=$G$29,1,0)+IF(K30=$G$30,1,0)+IF(K31=$G$31,1,0)+IF(K32=$G$32,1,0)+IF(K33=$G$33,1,0)+IF(K34=$G$34,1,0)+IF(K35=$G$35,1,0)+IF(K36=$G$36,1,0)+IF(K37=$G$37,1,0)+IF(K38=$G$38,1,0)+IF(K39=$G$39,1,0))</f>
        <v>5</v>
      </c>
      <c r="L3" s="14">
        <f>SUM(IF(L4=$G$4,1,0)+IF(L5=$G$5,1,0)+IF(L6=$G$6,1,0)+IF(L7=$G$7,1,0)+IF(L8=$G$8,1,0)+IF(L9=$G$9,1,0)+IF(L10=$G$10,1,0)+IF(L11=$G$11,1,0)+IF(L12=$G$12,1,0)+IF(L13=$G$13,1,0)+IF(L14=$G$14,1,0)+IF(L15=$G$15,1,0)+IF(L16=$G$16,1,0)+IF(L17=$G$17,1,0)+IF(L18=$G$18,1,0)+IF(L19=$G$19,1,0)+IF(L20=$G$20,1,0)+IF(L21=$G$21,1,0)+IF(L22=$G$22,1,0)+IF(L23=$G$23,1,0)+IF(L24=$G$24,1,0)+IF(L25=$G$25,1,0)+IF(L26=$G$26,1,0)+IF(L27=$G$27,1,0)+IF(L28=$G$28,1,0)+IF(L29=$G$29,1,0)+IF(L30=$G$30,1,0)+IF(L31=$G$31,1,0)+IF(L32=$G$32,1,0)+IF(L33=$G$33,1,0)+IF(L34=$G$34,1,0)+IF(L35=$G$35,1,0)+IF(L36=$G$36,1,0)+IF(L37=$G$37,1,0)+IF(L38=$G$38,1,0)+IF(L39=$G$39,1,0))</f>
        <v>5</v>
      </c>
      <c r="M3" s="14">
        <f>SUM(IF(M4=$G$4,1,0)+IF(M5=$G$5,1,0)+IF(M6=$G$6,1,0)+IF(M7=$G$7,1,0)+IF(M8=$G$8,1,0)+IF(M9=$G$9,1,0)+IF(M10=$G$10,1,0)+IF(M11=$G$11,1,0)+IF(M12=$G$12,1,0)+IF(M13=$G$13,1,0)+IF(M14=$G$14,1,0)+IF(M15=$G$15,1,0)+IF(M16=$G$16,1,0)+IF(M17=$G$17,1,0)+IF(M18=$G$18,1,0)+IF(M19=$G$19,1,0)+IF(M20=$G$20,1,0)+IF(M21=$G$21,1,0)+IF(M22=$G$22,1,0)+IF(M23=$G$23,1,0)+IF(M24=$G$24,1,0)+IF(M25=$G$25,1,0)+IF(M26=$G$26,1,0)+IF(M27=$G$27,1,0)+IF(M28=$G$28,1,0)+IF(M29=$G$29,1,0)+IF(M30=$G$30,1,0)+IF(M31=$G$31,1,0)+IF(M32=$G$32,1,0)+IF(M33=$G$33,1,0)+IF(M34=$G$34,1,0)+IF(M35=$G$35,1,0)+IF(M36=$G$36,1,0)+IF(M37=$G$37,1,0)+IF(M38=$G$38,1,0)+IF(M39=$G$39,1,0))</f>
        <v>4</v>
      </c>
      <c r="N3" s="14">
        <f>SUM(IF(N4=$G$4,1,0)+IF(N5=$G$5,1,0)+IF(N6=$G$6,1,0)+IF(N7=$G$7,1,0)+IF(N8=$G$8,1,0)+IF(N9=$G$9,1,0)+IF(N10=$G$10,1,0)+IF(N11=$G$11,1,0)+IF(N12=$G$12,1,0)+IF(N13=$G$13,1,0)+IF(N14=$G$14,1,0)+IF(N15=$G$15,1,0)+IF(N16=$G$16,1,0)+IF(N17=$G$17,1,0)+IF(N18=$G$18,1,0)+IF(N19=$G$19,1,0)+IF(N20=$G$20,1,0)+IF(N21=$G$21,1,0)+IF(N22=$G$22,1,0)+IF(N23=$G$23,1,0)+IF(N24=$G$24,1,0)+IF(N25=$G$25,1,0)+IF(N26=$G$26,1,0)+IF(N27=$G$27,1,0)+IF(N28=$G$28,1,0)+IF(N29=$G$29,1,0)+IF(N30=$G$30,1,0)+IF(N31=$G$31,1,0)+IF(N32=$G$32,1,0)+IF(N33=$G$33,1,0)+IF(N34=$G$34,1,0)+IF(N35=$G$35,1,0)+IF(N36=$G$36,1,0)+IF(N37=$G$37,1,0)+IF(N38=$G$38,1,0)+IF(N39=$G$39,1,0))</f>
        <v>4</v>
      </c>
      <c r="O3" s="14">
        <f>SUM(IF(O4=$G$4,1,0)+IF(O5=$G$5,1,0)+IF(O6=$G$6,1,0)+IF(O7=$G$7,1,0)+IF(O8=$G$8,1,0)+IF(O9=$G$9,1,0)+IF(O10=$G$10,1,0)+IF(O11=$G$11,1,0)+IF(O12=$G$12,1,0)+IF(O13=$G$13,1,0)+IF(O14=$G$14,1,0)+IF(O15=$G$15,1,0)+IF(O16=$G$16,1,0)+IF(O17=$G$17,1,0)+IF(O18=$G$18,1,0)+IF(O19=$G$19,1,0)+IF(O20=$G$20,1,0)+IF(O21=$G$21,1,0)+IF(O22=$G$22,1,0)+IF(O23=$G$23,1,0)+IF(O24=$G$24,1,0)+IF(O25=$G$25,1,0)+IF(O26=$G$26,1,0)+IF(O27=$G$27,1,0)+IF(O28=$G$28,1,0)+IF(O29=$G$29,1,0)+IF(O30=$G$30,1,0)+IF(O31=$G$31,1,0)+IF(O32=$G$32,1,0)+IF(O33=$G$33,1,0)+IF(O34=$G$34,1,0)+IF(O35=$G$35,1,0)+IF(O36=$G$36,1,0)+IF(O37=$G$37,1,0)+IF(O38=$G$38,1,0)+IF(O39=$G$39,1,0))</f>
        <v>4</v>
      </c>
      <c r="P3" s="14">
        <f>SUM(IF(P4=$G$4,1,0)+IF(P5=$G$5,1,0)+IF(P6=$G$6,1,0)+IF(P7=$G$7,1,0)+IF(P8=$G$8,1,0)+IF(P9=$G$9,1,0)+IF(P10=$G$10,1,0)+IF(P11=$G$11,1,0)+IF(P12=$G$12,1,0)+IF(P13=$G$13,1,0)+IF(P14=$G$14,1,0)+IF(P15=$G$15,1,0)+IF(P16=$G$16,1,0)+IF(P17=$G$17,1,0)+IF(P18=$G$18,1,0)+IF(P19=$G$19,1,0)+IF(P20=$G$20,1,0)+IF(P21=$G$21,1,0)+IF(P22=$G$22,1,0)+IF(P23=$G$23,1,0)+IF(P24=$G$24,1,0)+IF(P25=$G$25,1,0)+IF(P26=$G$26,1,0)+IF(P27=$G$27,1,0)+IF(P28=$G$28,1,0)+IF(P29=$G$29,1,0)+IF(P30=$G$30,1,0)+IF(P31=$G$31,1,0)+IF(P32=$G$32,1,0)+IF(P33=$G$33,1,0)+IF(P34=$G$34,1,0)+IF(P35=$G$35,1,0)+IF(P36=$G$36,1,0)+IF(P37=$G$37,1,0)+IF(P38=$G$38,1,0)+IF(P39=$G$39,1,0))</f>
        <v>3</v>
      </c>
      <c r="Q3" s="14">
        <f>SUM(IF(Q4=$G$4,1,0)+IF(Q5=$G$5,1,0)+IF(Q6=$G$6,1,0)+IF(Q7=$G$7,1,0)+IF(Q8=$G$8,1,0)+IF(Q9=$G$9,1,0)+IF(Q10=$G$10,1,0)+IF(Q11=$G$11,1,0)+IF(Q12=$G$12,1,0)+IF(Q13=$G$13,1,0)+IF(Q14=$G$14,1,0)+IF(Q15=$G$15,1,0)+IF(Q16=$G$16,1,0)+IF(Q17=$G$17,1,0)+IF(Q18=$G$18,1,0)+IF(Q19=$G$19,1,0)+IF(Q20=$G$20,1,0)+IF(Q21=$G$21,1,0)+IF(Q22=$G$22,1,0)+IF(Q23=$G$23,1,0)+IF(Q24=$G$24,1,0)+IF(Q25=$G$25,1,0)+IF(Q26=$G$26,1,0)+IF(Q27=$G$27,1,0)+IF(Q28=$G$28,1,0)+IF(Q29=$G$29,1,0)+IF(Q30=$G$30,1,0)+IF(Q31=$G$31,1,0)+IF(Q32=$G$32,1,0)+IF(Q33=$G$33,1,0)+IF(Q34=$G$34,1,0)+IF(Q35=$G$35,1,0)+IF(Q36=$G$36,1,0)+IF(Q37=$G$37,1,0)+IF(Q38=$G$38,1,0)+IF(Q39=$G$39,1,0))</f>
        <v>3</v>
      </c>
      <c r="R3" s="14">
        <f>SUM(IF(R4=$G$4,1,0)+IF(R5=$G$5,1,0)+IF(R6=$G$6,1,0)+IF(R7=$G$7,1,0)+IF(R8=$G$8,1,0)+IF(R9=$G$9,1,0)+IF(R10=$G$10,1,0)+IF(R11=$G$11,1,0)+IF(R12=$G$12,1,0)+IF(R13=$G$13,1,0)+IF(R14=$G$14,1,0)+IF(R15=$G$15,1,0)+IF(R16=$G$16,1,0)+IF(R17=$G$17,1,0)+IF(R18=$G$18,1,0)+IF(R19=$G$19,1,0)+IF(R20=$G$20,1,0)+IF(R21=$G$21,1,0)+IF(R22=$G$22,1,0)+IF(R23=$G$23,1,0)+IF(R24=$G$24,1,0)+IF(R25=$G$25,1,0)+IF(R26=$G$26,1,0)+IF(R27=$G$27,1,0)+IF(R28=$G$28,1,0)+IF(R29=$G$29,1,0)+IF(R30=$G$30,1,0)+IF(R31=$G$31,1,0)+IF(R32=$G$32,1,0)+IF(R33=$G$33,1,0)+IF(R34=$G$34,1,0)+IF(R35=$G$35,1,0)+IF(R36=$G$36,1,0)+IF(R37=$G$37,1,0)+IF(R38=$G$38,1,0)+IF(R39=$G$39,1,0))</f>
        <v>3</v>
      </c>
      <c r="S3" s="14">
        <f t="shared" ref="H3:AF3" si="0">SUM(IF(S4=$G$4,1,0)+IF(S5=$G$5,1,0)+IF(S6=$G$6,1,0)+IF(S7=$G$7,1,0)+IF(S8=$G$8,1,0)+IF(S9=$G$9,1,0)+IF(S10=$G$10,1,0)+IF(S11=$G$11,1,0)+IF(S12=$G$12,1,0)+IF(S13=$G$13,1,0)+IF(S14=$G$14,1,0)+IF(S15=$G$15,1,0)+IF(S16=$G$16,1,0)+IF(S17=$G$17,1,0)+IF(S18=$G$18,1,0)+IF(S19=$G$19,1,0)+IF(S20=$G$20,1,0)+IF(S21=$G$21,1,0)+IF(S22=$G$22,1,0)+IF(S23=$G$23,1,0)+IF(S24=$G$24,1,0)+IF(S25=$G$25,1,0)+IF(S26=$G$26,1,0)+IF(S27=$G$27,1,0)+IF(S28=$G$28,1,0)+IF(S29=$G$29,1,0)+IF(S30=$G$30,1,0)+IF(S31=$G$31,1,0)+IF(S32=$G$32,1,0)+IF(S33=$G$33,1,0)+IF(S34=$G$34,1,0)+IF(S35=$G$35,1,0)+IF(S36=$G$36,1,0)+IF(S37=$G$37,1,0)+IF(S38=$G$38,1,0)+IF(S39=$G$39,1,0))</f>
        <v>0</v>
      </c>
      <c r="T3" s="14">
        <f t="shared" si="0"/>
        <v>0</v>
      </c>
      <c r="U3" s="14">
        <f t="shared" si="0"/>
        <v>0</v>
      </c>
      <c r="V3" s="14">
        <f t="shared" si="0"/>
        <v>0</v>
      </c>
      <c r="W3" s="14">
        <f t="shared" si="0"/>
        <v>0</v>
      </c>
      <c r="X3" s="14">
        <f t="shared" si="0"/>
        <v>0</v>
      </c>
      <c r="Y3" s="14">
        <f t="shared" si="0"/>
        <v>0</v>
      </c>
      <c r="Z3" s="14">
        <f t="shared" si="0"/>
        <v>0</v>
      </c>
      <c r="AA3" s="14">
        <f t="shared" si="0"/>
        <v>0</v>
      </c>
      <c r="AB3" s="14">
        <f t="shared" si="0"/>
        <v>0</v>
      </c>
      <c r="AC3" s="14">
        <f t="shared" si="0"/>
        <v>0</v>
      </c>
      <c r="AD3" s="14">
        <f t="shared" si="0"/>
        <v>0</v>
      </c>
      <c r="AE3" s="14">
        <f t="shared" si="0"/>
        <v>0</v>
      </c>
      <c r="AF3" s="14">
        <f t="shared" si="0"/>
        <v>0</v>
      </c>
    </row>
    <row r="4" spans="1:32" ht="15.6" x14ac:dyDescent="0.3">
      <c r="A4" s="37" t="s">
        <v>6</v>
      </c>
      <c r="B4" s="7">
        <v>1</v>
      </c>
      <c r="C4" s="7" t="s">
        <v>48</v>
      </c>
      <c r="D4" s="7" t="s">
        <v>49</v>
      </c>
      <c r="E4" s="7">
        <v>2</v>
      </c>
      <c r="F4" s="7">
        <v>0</v>
      </c>
      <c r="G4" s="7" t="str">
        <f t="shared" ref="G4:G51" si="1">IF(E4="","-",IF(E4&gt;F4,"L",IF(E4=F4,"E",IF(E4&lt;F4,"V"))))</f>
        <v>L</v>
      </c>
      <c r="H4" s="24" t="s">
        <v>46</v>
      </c>
      <c r="I4" s="23" t="s">
        <v>46</v>
      </c>
      <c r="J4" s="24" t="s">
        <v>46</v>
      </c>
      <c r="K4" s="24" t="s">
        <v>46</v>
      </c>
      <c r="L4" s="23" t="s">
        <v>46</v>
      </c>
      <c r="M4" s="23" t="s">
        <v>46</v>
      </c>
      <c r="N4" s="24" t="s">
        <v>46</v>
      </c>
      <c r="O4" s="23" t="s">
        <v>46</v>
      </c>
      <c r="P4" s="24" t="s">
        <v>46</v>
      </c>
      <c r="Q4" s="23" t="s">
        <v>46</v>
      </c>
      <c r="R4" s="23" t="s">
        <v>46</v>
      </c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ht="15.6" x14ac:dyDescent="0.3">
      <c r="A5" s="38"/>
      <c r="B5" s="7">
        <v>2</v>
      </c>
      <c r="C5" s="7" t="s">
        <v>50</v>
      </c>
      <c r="D5" s="7" t="s">
        <v>51</v>
      </c>
      <c r="E5" s="7">
        <v>2</v>
      </c>
      <c r="F5" s="7">
        <v>1</v>
      </c>
      <c r="G5" s="7" t="str">
        <f t="shared" si="1"/>
        <v>L</v>
      </c>
      <c r="H5" s="24" t="s">
        <v>46</v>
      </c>
      <c r="I5" s="23" t="s">
        <v>46</v>
      </c>
      <c r="J5" s="24" t="s">
        <v>46</v>
      </c>
      <c r="K5" s="24" t="s">
        <v>46</v>
      </c>
      <c r="L5" s="23" t="s">
        <v>46</v>
      </c>
      <c r="M5" s="23" t="s">
        <v>46</v>
      </c>
      <c r="N5" s="24" t="s">
        <v>46</v>
      </c>
      <c r="O5" s="23" t="s">
        <v>104</v>
      </c>
      <c r="P5" s="24" t="s">
        <v>10</v>
      </c>
      <c r="Q5" s="23" t="s">
        <v>10</v>
      </c>
      <c r="R5" s="23" t="s">
        <v>10</v>
      </c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ht="15.6" x14ac:dyDescent="0.3">
      <c r="A6" s="38"/>
      <c r="B6" s="7">
        <v>3</v>
      </c>
      <c r="C6" s="7" t="s">
        <v>51</v>
      </c>
      <c r="D6" s="7" t="s">
        <v>49</v>
      </c>
      <c r="E6" s="7"/>
      <c r="F6" s="7"/>
      <c r="G6" s="7" t="str">
        <f t="shared" si="1"/>
        <v>-</v>
      </c>
      <c r="H6" s="24" t="s">
        <v>46</v>
      </c>
      <c r="I6" s="23" t="s">
        <v>46</v>
      </c>
      <c r="J6" s="24" t="s">
        <v>110</v>
      </c>
      <c r="K6" s="24" t="s">
        <v>104</v>
      </c>
      <c r="L6" s="23" t="s">
        <v>10</v>
      </c>
      <c r="M6" s="23" t="s">
        <v>46</v>
      </c>
      <c r="N6" s="24" t="s">
        <v>10</v>
      </c>
      <c r="O6" s="23" t="s">
        <v>46</v>
      </c>
      <c r="P6" s="24" t="s">
        <v>46</v>
      </c>
      <c r="Q6" s="23" t="s">
        <v>46</v>
      </c>
      <c r="R6" s="23" t="s">
        <v>46</v>
      </c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ht="15.6" x14ac:dyDescent="0.3">
      <c r="A7" s="38"/>
      <c r="B7" s="7">
        <v>4</v>
      </c>
      <c r="C7" s="7" t="s">
        <v>48</v>
      </c>
      <c r="D7" s="7" t="s">
        <v>96</v>
      </c>
      <c r="E7" s="7"/>
      <c r="F7" s="7"/>
      <c r="G7" s="7" t="str">
        <f t="shared" si="1"/>
        <v>-</v>
      </c>
      <c r="H7" s="24" t="s">
        <v>10</v>
      </c>
      <c r="I7" s="23" t="s">
        <v>10</v>
      </c>
      <c r="J7" s="24" t="s">
        <v>46</v>
      </c>
      <c r="K7" s="24" t="s">
        <v>10</v>
      </c>
      <c r="L7" s="23" t="s">
        <v>46</v>
      </c>
      <c r="M7" s="23" t="s">
        <v>46</v>
      </c>
      <c r="N7" s="24" t="s">
        <v>46</v>
      </c>
      <c r="O7" s="23" t="s">
        <v>46</v>
      </c>
      <c r="P7" s="24" t="s">
        <v>104</v>
      </c>
      <c r="Q7" s="23" t="s">
        <v>46</v>
      </c>
      <c r="R7" s="23" t="s">
        <v>46</v>
      </c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ht="15.6" x14ac:dyDescent="0.3">
      <c r="A8" s="38"/>
      <c r="B8" s="7">
        <v>5</v>
      </c>
      <c r="C8" s="7" t="s">
        <v>51</v>
      </c>
      <c r="D8" s="7" t="s">
        <v>48</v>
      </c>
      <c r="E8" s="7"/>
      <c r="F8" s="7"/>
      <c r="G8" s="7" t="str">
        <f t="shared" si="1"/>
        <v>-</v>
      </c>
      <c r="H8" s="24" t="s">
        <v>104</v>
      </c>
      <c r="I8" s="23" t="s">
        <v>46</v>
      </c>
      <c r="J8" s="24" t="s">
        <v>104</v>
      </c>
      <c r="K8" s="24" t="s">
        <v>104</v>
      </c>
      <c r="L8" s="23" t="s">
        <v>104</v>
      </c>
      <c r="M8" s="23" t="s">
        <v>10</v>
      </c>
      <c r="N8" s="24" t="s">
        <v>10</v>
      </c>
      <c r="O8" s="23" t="s">
        <v>104</v>
      </c>
      <c r="P8" s="24" t="s">
        <v>104</v>
      </c>
      <c r="Q8" s="23" t="s">
        <v>104</v>
      </c>
      <c r="R8" s="23" t="s">
        <v>104</v>
      </c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spans="1:32" ht="15.6" x14ac:dyDescent="0.3">
      <c r="A9" s="39"/>
      <c r="B9" s="7">
        <v>6</v>
      </c>
      <c r="C9" s="7" t="s">
        <v>49</v>
      </c>
      <c r="D9" s="7" t="s">
        <v>96</v>
      </c>
      <c r="E9" s="7"/>
      <c r="F9" s="7"/>
      <c r="G9" s="7" t="str">
        <f t="shared" si="1"/>
        <v>-</v>
      </c>
      <c r="H9" s="24" t="s">
        <v>46</v>
      </c>
      <c r="I9" s="23" t="s">
        <v>10</v>
      </c>
      <c r="J9" s="24" t="s">
        <v>104</v>
      </c>
      <c r="K9" s="24" t="s">
        <v>104</v>
      </c>
      <c r="L9" s="23" t="s">
        <v>104</v>
      </c>
      <c r="M9" s="23" t="s">
        <v>104</v>
      </c>
      <c r="N9" s="24" t="s">
        <v>104</v>
      </c>
      <c r="O9" s="23" t="s">
        <v>10</v>
      </c>
      <c r="P9" s="24" t="s">
        <v>104</v>
      </c>
      <c r="Q9" s="23" t="s">
        <v>104</v>
      </c>
      <c r="R9" s="23" t="s">
        <v>10</v>
      </c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spans="1:32" ht="15.6" x14ac:dyDescent="0.3">
      <c r="A10" s="44" t="s">
        <v>7</v>
      </c>
      <c r="B10" s="7">
        <v>7</v>
      </c>
      <c r="C10" s="8" t="s">
        <v>52</v>
      </c>
      <c r="D10" s="8" t="s">
        <v>53</v>
      </c>
      <c r="E10" s="8">
        <v>1</v>
      </c>
      <c r="F10" s="8">
        <v>1</v>
      </c>
      <c r="G10" s="8" t="str">
        <f t="shared" si="1"/>
        <v>E</v>
      </c>
      <c r="H10" s="24" t="s">
        <v>10</v>
      </c>
      <c r="I10" s="23" t="s">
        <v>10</v>
      </c>
      <c r="J10" s="24" t="s">
        <v>46</v>
      </c>
      <c r="K10" s="24" t="s">
        <v>46</v>
      </c>
      <c r="L10" s="23" t="s">
        <v>10</v>
      </c>
      <c r="M10" s="23" t="s">
        <v>46</v>
      </c>
      <c r="N10" s="24" t="s">
        <v>10</v>
      </c>
      <c r="O10" s="23" t="s">
        <v>46</v>
      </c>
      <c r="P10" s="24" t="s">
        <v>46</v>
      </c>
      <c r="Q10" s="23" t="s">
        <v>46</v>
      </c>
      <c r="R10" s="23" t="s">
        <v>10</v>
      </c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 ht="15.6" x14ac:dyDescent="0.3">
      <c r="A11" s="38"/>
      <c r="B11" s="7">
        <v>8</v>
      </c>
      <c r="C11" s="8" t="s">
        <v>56</v>
      </c>
      <c r="D11" s="8" t="s">
        <v>57</v>
      </c>
      <c r="E11" s="8">
        <v>1</v>
      </c>
      <c r="F11" s="8">
        <v>1</v>
      </c>
      <c r="G11" s="8" t="str">
        <f t="shared" si="1"/>
        <v>E</v>
      </c>
      <c r="H11" s="24" t="s">
        <v>10</v>
      </c>
      <c r="I11" s="23" t="s">
        <v>10</v>
      </c>
      <c r="J11" s="24" t="s">
        <v>104</v>
      </c>
      <c r="K11" s="24" t="s">
        <v>104</v>
      </c>
      <c r="L11" s="23" t="s">
        <v>104</v>
      </c>
      <c r="M11" s="23" t="s">
        <v>104</v>
      </c>
      <c r="N11" s="24" t="s">
        <v>46</v>
      </c>
      <c r="O11" s="23" t="s">
        <v>104</v>
      </c>
      <c r="P11" s="24" t="s">
        <v>104</v>
      </c>
      <c r="Q11" s="23" t="s">
        <v>104</v>
      </c>
      <c r="R11" s="23" t="s">
        <v>104</v>
      </c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</row>
    <row r="12" spans="1:32" ht="15.6" x14ac:dyDescent="0.3">
      <c r="A12" s="38"/>
      <c r="B12" s="7">
        <v>9</v>
      </c>
      <c r="C12" s="8" t="s">
        <v>57</v>
      </c>
      <c r="D12" s="8" t="s">
        <v>53</v>
      </c>
      <c r="E12" s="8"/>
      <c r="F12" s="8"/>
      <c r="G12" s="8" t="str">
        <f t="shared" si="1"/>
        <v>-</v>
      </c>
      <c r="H12" s="24" t="s">
        <v>46</v>
      </c>
      <c r="I12" s="23" t="s">
        <v>46</v>
      </c>
      <c r="J12" s="24" t="s">
        <v>46</v>
      </c>
      <c r="K12" s="24" t="s">
        <v>10</v>
      </c>
      <c r="L12" s="23" t="s">
        <v>46</v>
      </c>
      <c r="M12" s="23" t="s">
        <v>46</v>
      </c>
      <c r="N12" s="24" t="s">
        <v>46</v>
      </c>
      <c r="O12" s="23" t="s">
        <v>46</v>
      </c>
      <c r="P12" s="24" t="s">
        <v>10</v>
      </c>
      <c r="Q12" s="23" t="s">
        <v>46</v>
      </c>
      <c r="R12" s="23" t="s">
        <v>104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</row>
    <row r="13" spans="1:32" ht="15.6" x14ac:dyDescent="0.3">
      <c r="A13" s="38"/>
      <c r="B13" s="7">
        <v>10</v>
      </c>
      <c r="C13" s="8" t="s">
        <v>52</v>
      </c>
      <c r="D13" s="8" t="s">
        <v>56</v>
      </c>
      <c r="E13" s="8"/>
      <c r="F13" s="8"/>
      <c r="G13" s="8" t="str">
        <f t="shared" si="1"/>
        <v>-</v>
      </c>
      <c r="H13" s="24" t="s">
        <v>46</v>
      </c>
      <c r="I13" s="23" t="s">
        <v>46</v>
      </c>
      <c r="J13" s="24" t="s">
        <v>46</v>
      </c>
      <c r="K13" s="24" t="s">
        <v>10</v>
      </c>
      <c r="L13" s="23" t="s">
        <v>46</v>
      </c>
      <c r="M13" s="23" t="s">
        <v>46</v>
      </c>
      <c r="N13" s="24" t="s">
        <v>46</v>
      </c>
      <c r="O13" s="23" t="s">
        <v>46</v>
      </c>
      <c r="P13" s="24" t="s">
        <v>46</v>
      </c>
      <c r="Q13" s="23" t="s">
        <v>46</v>
      </c>
      <c r="R13" s="23" t="s">
        <v>46</v>
      </c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</row>
    <row r="14" spans="1:32" ht="15.6" x14ac:dyDescent="0.3">
      <c r="A14" s="38"/>
      <c r="B14" s="7">
        <v>11</v>
      </c>
      <c r="C14" s="8" t="s">
        <v>57</v>
      </c>
      <c r="D14" s="8" t="s">
        <v>52</v>
      </c>
      <c r="E14" s="8"/>
      <c r="F14" s="8"/>
      <c r="G14" s="8" t="str">
        <f t="shared" si="1"/>
        <v>-</v>
      </c>
      <c r="H14" s="24" t="s">
        <v>46</v>
      </c>
      <c r="I14" s="23" t="s">
        <v>104</v>
      </c>
      <c r="J14" s="24" t="s">
        <v>46</v>
      </c>
      <c r="K14" s="24" t="s">
        <v>46</v>
      </c>
      <c r="L14" s="23" t="s">
        <v>46</v>
      </c>
      <c r="M14" s="23" t="s">
        <v>10</v>
      </c>
      <c r="N14" s="24" t="s">
        <v>104</v>
      </c>
      <c r="O14" s="23" t="s">
        <v>10</v>
      </c>
      <c r="P14" s="24" t="s">
        <v>104</v>
      </c>
      <c r="Q14" s="23" t="s">
        <v>10</v>
      </c>
      <c r="R14" s="23" t="s">
        <v>104</v>
      </c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</row>
    <row r="15" spans="1:32" ht="15.6" x14ac:dyDescent="0.3">
      <c r="A15" s="39"/>
      <c r="B15" s="7">
        <v>12</v>
      </c>
      <c r="C15" s="8" t="s">
        <v>53</v>
      </c>
      <c r="D15" s="8" t="s">
        <v>56</v>
      </c>
      <c r="E15" s="8"/>
      <c r="F15" s="8"/>
      <c r="G15" s="8" t="str">
        <f t="shared" si="1"/>
        <v>-</v>
      </c>
      <c r="H15" s="24" t="s">
        <v>46</v>
      </c>
      <c r="I15" s="23" t="s">
        <v>104</v>
      </c>
      <c r="J15" s="24" t="s">
        <v>10</v>
      </c>
      <c r="K15" s="24" t="s">
        <v>104</v>
      </c>
      <c r="L15" s="23" t="s">
        <v>10</v>
      </c>
      <c r="M15" s="23" t="s">
        <v>46</v>
      </c>
      <c r="N15" s="24" t="s">
        <v>46</v>
      </c>
      <c r="O15" s="23" t="s">
        <v>10</v>
      </c>
      <c r="P15" s="24" t="s">
        <v>46</v>
      </c>
      <c r="Q15" s="23" t="s">
        <v>46</v>
      </c>
      <c r="R15" s="23" t="s">
        <v>104</v>
      </c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ht="15.6" x14ac:dyDescent="0.3">
      <c r="A16" s="45" t="s">
        <v>8</v>
      </c>
      <c r="B16" s="7">
        <v>13</v>
      </c>
      <c r="C16" s="9" t="s">
        <v>58</v>
      </c>
      <c r="D16" s="9" t="s">
        <v>59</v>
      </c>
      <c r="E16" s="9">
        <v>1</v>
      </c>
      <c r="F16" s="9">
        <v>1</v>
      </c>
      <c r="G16" s="9" t="str">
        <f t="shared" si="1"/>
        <v>E</v>
      </c>
      <c r="H16" s="24" t="s">
        <v>46</v>
      </c>
      <c r="I16" s="23" t="s">
        <v>46</v>
      </c>
      <c r="J16" s="24" t="s">
        <v>46</v>
      </c>
      <c r="K16" s="24" t="s">
        <v>46</v>
      </c>
      <c r="L16" s="23" t="s">
        <v>10</v>
      </c>
      <c r="M16" s="23" t="s">
        <v>46</v>
      </c>
      <c r="N16" s="24" t="s">
        <v>46</v>
      </c>
      <c r="O16" s="23" t="s">
        <v>46</v>
      </c>
      <c r="P16" s="24" t="s">
        <v>104</v>
      </c>
      <c r="Q16" s="23" t="s">
        <v>46</v>
      </c>
      <c r="R16" s="23" t="s">
        <v>46</v>
      </c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2" ht="15.6" x14ac:dyDescent="0.3">
      <c r="A17" s="38"/>
      <c r="B17" s="7">
        <v>14</v>
      </c>
      <c r="C17" s="9" t="s">
        <v>97</v>
      </c>
      <c r="D17" s="9" t="s">
        <v>60</v>
      </c>
      <c r="E17" s="9">
        <v>0</v>
      </c>
      <c r="F17" s="9">
        <v>1</v>
      </c>
      <c r="G17" s="9" t="str">
        <f t="shared" si="1"/>
        <v>V</v>
      </c>
      <c r="H17" s="24" t="s">
        <v>104</v>
      </c>
      <c r="I17" s="23" t="s">
        <v>104</v>
      </c>
      <c r="J17" s="24" t="s">
        <v>104</v>
      </c>
      <c r="K17" s="24" t="s">
        <v>104</v>
      </c>
      <c r="L17" s="23" t="s">
        <v>104</v>
      </c>
      <c r="M17" s="23" t="s">
        <v>104</v>
      </c>
      <c r="N17" s="24" t="s">
        <v>104</v>
      </c>
      <c r="O17" s="23" t="s">
        <v>104</v>
      </c>
      <c r="P17" s="24" t="s">
        <v>104</v>
      </c>
      <c r="Q17" s="23" t="s">
        <v>104</v>
      </c>
      <c r="R17" s="23" t="s">
        <v>104</v>
      </c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2" ht="15.6" x14ac:dyDescent="0.3">
      <c r="A18" s="38"/>
      <c r="B18" s="7">
        <v>15</v>
      </c>
      <c r="C18" s="9" t="s">
        <v>60</v>
      </c>
      <c r="D18" s="9" t="s">
        <v>59</v>
      </c>
      <c r="E18" s="9"/>
      <c r="F18" s="9"/>
      <c r="G18" s="9" t="str">
        <f t="shared" si="1"/>
        <v>-</v>
      </c>
      <c r="H18" s="24" t="s">
        <v>104</v>
      </c>
      <c r="I18" s="23" t="s">
        <v>104</v>
      </c>
      <c r="J18" s="24" t="s">
        <v>46</v>
      </c>
      <c r="K18" s="24" t="s">
        <v>10</v>
      </c>
      <c r="L18" s="23" t="s">
        <v>104</v>
      </c>
      <c r="M18" s="23" t="s">
        <v>104</v>
      </c>
      <c r="N18" s="24" t="s">
        <v>46</v>
      </c>
      <c r="O18" s="23" t="s">
        <v>46</v>
      </c>
      <c r="P18" s="24" t="s">
        <v>104</v>
      </c>
      <c r="Q18" s="23" t="s">
        <v>104</v>
      </c>
      <c r="R18" s="23" t="s">
        <v>104</v>
      </c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ht="15.6" x14ac:dyDescent="0.3">
      <c r="A19" s="38"/>
      <c r="B19" s="7">
        <v>16</v>
      </c>
      <c r="C19" s="9" t="s">
        <v>58</v>
      </c>
      <c r="D19" s="9" t="s">
        <v>97</v>
      </c>
      <c r="E19" s="9"/>
      <c r="F19" s="9"/>
      <c r="G19" s="9" t="str">
        <f t="shared" si="1"/>
        <v>-</v>
      </c>
      <c r="H19" s="24" t="s">
        <v>46</v>
      </c>
      <c r="I19" s="23" t="s">
        <v>46</v>
      </c>
      <c r="J19" s="24" t="s">
        <v>46</v>
      </c>
      <c r="K19" s="24" t="s">
        <v>46</v>
      </c>
      <c r="L19" s="23" t="s">
        <v>46</v>
      </c>
      <c r="M19" s="23" t="s">
        <v>46</v>
      </c>
      <c r="N19" s="24" t="s">
        <v>46</v>
      </c>
      <c r="O19" s="23" t="s">
        <v>46</v>
      </c>
      <c r="P19" s="24" t="s">
        <v>46</v>
      </c>
      <c r="Q19" s="23" t="s">
        <v>46</v>
      </c>
      <c r="R19" s="23" t="s">
        <v>46</v>
      </c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2" ht="15.6" x14ac:dyDescent="0.3">
      <c r="A20" s="38"/>
      <c r="B20" s="7">
        <v>17</v>
      </c>
      <c r="C20" s="9" t="s">
        <v>60</v>
      </c>
      <c r="D20" s="9" t="s">
        <v>58</v>
      </c>
      <c r="E20" s="9"/>
      <c r="F20" s="9"/>
      <c r="G20" s="9" t="str">
        <f t="shared" si="1"/>
        <v>-</v>
      </c>
      <c r="H20" s="24" t="s">
        <v>104</v>
      </c>
      <c r="I20" s="23" t="s">
        <v>104</v>
      </c>
      <c r="J20" s="24" t="s">
        <v>46</v>
      </c>
      <c r="K20" s="24" t="s">
        <v>104</v>
      </c>
      <c r="L20" s="23" t="s">
        <v>104</v>
      </c>
      <c r="M20" s="23" t="s">
        <v>104</v>
      </c>
      <c r="N20" s="24" t="s">
        <v>104</v>
      </c>
      <c r="O20" s="23" t="s">
        <v>104</v>
      </c>
      <c r="P20" s="24" t="s">
        <v>104</v>
      </c>
      <c r="Q20" s="23" t="s">
        <v>104</v>
      </c>
      <c r="R20" s="23" t="s">
        <v>104</v>
      </c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2" ht="15.6" x14ac:dyDescent="0.3">
      <c r="A21" s="39"/>
      <c r="B21" s="7">
        <v>18</v>
      </c>
      <c r="C21" s="9" t="s">
        <v>59</v>
      </c>
      <c r="D21" s="9" t="s">
        <v>97</v>
      </c>
      <c r="E21" s="9"/>
      <c r="F21" s="9"/>
      <c r="G21" s="9" t="str">
        <f t="shared" si="1"/>
        <v>-</v>
      </c>
      <c r="H21" s="24" t="s">
        <v>46</v>
      </c>
      <c r="I21" s="23" t="s">
        <v>46</v>
      </c>
      <c r="J21" s="24" t="s">
        <v>46</v>
      </c>
      <c r="K21" s="24" t="s">
        <v>46</v>
      </c>
      <c r="L21" s="23" t="s">
        <v>46</v>
      </c>
      <c r="M21" s="23" t="s">
        <v>46</v>
      </c>
      <c r="N21" s="24" t="s">
        <v>46</v>
      </c>
      <c r="O21" s="23" t="s">
        <v>10</v>
      </c>
      <c r="P21" s="24" t="s">
        <v>46</v>
      </c>
      <c r="Q21" s="23" t="s">
        <v>46</v>
      </c>
      <c r="R21" s="23" t="s">
        <v>46</v>
      </c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ht="15.6" x14ac:dyDescent="0.3">
      <c r="A22" s="42" t="s">
        <v>9</v>
      </c>
      <c r="B22" s="7">
        <v>19</v>
      </c>
      <c r="C22" s="10" t="s">
        <v>54</v>
      </c>
      <c r="D22" s="10" t="s">
        <v>55</v>
      </c>
      <c r="E22" s="10">
        <v>4</v>
      </c>
      <c r="F22" s="10">
        <v>1</v>
      </c>
      <c r="G22" s="10" t="str">
        <f t="shared" si="1"/>
        <v>L</v>
      </c>
      <c r="H22" s="24" t="s">
        <v>46</v>
      </c>
      <c r="I22" s="23" t="s">
        <v>104</v>
      </c>
      <c r="J22" s="24" t="s">
        <v>46</v>
      </c>
      <c r="K22" s="24" t="s">
        <v>46</v>
      </c>
      <c r="L22" s="23" t="s">
        <v>10</v>
      </c>
      <c r="M22" s="23" t="s">
        <v>46</v>
      </c>
      <c r="N22" s="24" t="s">
        <v>104</v>
      </c>
      <c r="O22" s="23" t="s">
        <v>46</v>
      </c>
      <c r="P22" s="24" t="s">
        <v>46</v>
      </c>
      <c r="Q22" s="23" t="s">
        <v>46</v>
      </c>
      <c r="R22" s="23" t="s">
        <v>10</v>
      </c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5.6" x14ac:dyDescent="0.3">
      <c r="A23" s="38"/>
      <c r="B23" s="7">
        <v>20</v>
      </c>
      <c r="C23" s="10" t="s">
        <v>61</v>
      </c>
      <c r="D23" s="10" t="s">
        <v>62</v>
      </c>
      <c r="E23" s="10">
        <v>2</v>
      </c>
      <c r="F23" s="10">
        <v>0</v>
      </c>
      <c r="G23" s="10" t="str">
        <f t="shared" si="1"/>
        <v>L</v>
      </c>
      <c r="H23" s="24" t="s">
        <v>104</v>
      </c>
      <c r="I23" s="23" t="s">
        <v>46</v>
      </c>
      <c r="J23" s="24" t="s">
        <v>46</v>
      </c>
      <c r="K23" s="24" t="s">
        <v>46</v>
      </c>
      <c r="L23" s="23" t="s">
        <v>10</v>
      </c>
      <c r="M23" s="23" t="s">
        <v>104</v>
      </c>
      <c r="N23" s="24" t="s">
        <v>10</v>
      </c>
      <c r="O23" s="23" t="s">
        <v>46</v>
      </c>
      <c r="P23" s="24" t="s">
        <v>104</v>
      </c>
      <c r="Q23" s="23" t="s">
        <v>10</v>
      </c>
      <c r="R23" s="23" t="s">
        <v>104</v>
      </c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ht="15.6" x14ac:dyDescent="0.3">
      <c r="A24" s="38"/>
      <c r="B24" s="7">
        <v>21</v>
      </c>
      <c r="C24" s="10" t="s">
        <v>54</v>
      </c>
      <c r="D24" s="10" t="s">
        <v>61</v>
      </c>
      <c r="E24" s="10"/>
      <c r="F24" s="10"/>
      <c r="G24" s="10" t="str">
        <f t="shared" si="1"/>
        <v>-</v>
      </c>
      <c r="H24" s="24" t="s">
        <v>46</v>
      </c>
      <c r="I24" s="23" t="s">
        <v>46</v>
      </c>
      <c r="J24" s="24" t="s">
        <v>46</v>
      </c>
      <c r="K24" s="24" t="s">
        <v>10</v>
      </c>
      <c r="L24" s="23" t="s">
        <v>104</v>
      </c>
      <c r="M24" s="23" t="s">
        <v>46</v>
      </c>
      <c r="N24" s="24" t="s">
        <v>46</v>
      </c>
      <c r="O24" s="23" t="s">
        <v>46</v>
      </c>
      <c r="P24" s="24" t="s">
        <v>10</v>
      </c>
      <c r="Q24" s="23" t="s">
        <v>46</v>
      </c>
      <c r="R24" s="23" t="s">
        <v>46</v>
      </c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</row>
    <row r="25" spans="1:32" ht="15.6" x14ac:dyDescent="0.3">
      <c r="A25" s="38"/>
      <c r="B25" s="7">
        <v>22</v>
      </c>
      <c r="C25" s="10" t="s">
        <v>62</v>
      </c>
      <c r="D25" s="10" t="s">
        <v>55</v>
      </c>
      <c r="E25" s="10"/>
      <c r="F25" s="10"/>
      <c r="G25" s="10" t="str">
        <f t="shared" si="1"/>
        <v>-</v>
      </c>
      <c r="H25" s="24" t="s">
        <v>10</v>
      </c>
      <c r="I25" s="23" t="s">
        <v>10</v>
      </c>
      <c r="J25" s="24" t="s">
        <v>46</v>
      </c>
      <c r="K25" s="24" t="s">
        <v>104</v>
      </c>
      <c r="L25" s="23" t="s">
        <v>46</v>
      </c>
      <c r="M25" s="23" t="s">
        <v>10</v>
      </c>
      <c r="N25" s="24" t="s">
        <v>104</v>
      </c>
      <c r="O25" s="23" t="s">
        <v>10</v>
      </c>
      <c r="P25" s="24" t="s">
        <v>46</v>
      </c>
      <c r="Q25" s="23" t="s">
        <v>10</v>
      </c>
      <c r="R25" s="23" t="s">
        <v>10</v>
      </c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</row>
    <row r="26" spans="1:32" ht="15.6" x14ac:dyDescent="0.3">
      <c r="A26" s="38"/>
      <c r="B26" s="7">
        <v>23</v>
      </c>
      <c r="C26" s="10" t="s">
        <v>62</v>
      </c>
      <c r="D26" s="10" t="s">
        <v>54</v>
      </c>
      <c r="E26" s="10"/>
      <c r="F26" s="10"/>
      <c r="G26" s="10" t="str">
        <f t="shared" si="1"/>
        <v>-</v>
      </c>
      <c r="H26" s="24" t="s">
        <v>10</v>
      </c>
      <c r="I26" s="23" t="s">
        <v>10</v>
      </c>
      <c r="J26" s="24" t="s">
        <v>104</v>
      </c>
      <c r="K26" s="24" t="s">
        <v>104</v>
      </c>
      <c r="L26" s="23" t="s">
        <v>10</v>
      </c>
      <c r="M26" s="23" t="s">
        <v>10</v>
      </c>
      <c r="N26" s="24" t="s">
        <v>104</v>
      </c>
      <c r="O26" s="23" t="s">
        <v>104</v>
      </c>
      <c r="P26" s="24" t="s">
        <v>10</v>
      </c>
      <c r="Q26" s="23" t="s">
        <v>10</v>
      </c>
      <c r="R26" s="23" t="s">
        <v>46</v>
      </c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</row>
    <row r="27" spans="1:32" ht="15.6" x14ac:dyDescent="0.3">
      <c r="A27" s="39"/>
      <c r="B27" s="7">
        <v>24</v>
      </c>
      <c r="C27" s="10" t="s">
        <v>55</v>
      </c>
      <c r="D27" s="10" t="s">
        <v>61</v>
      </c>
      <c r="E27" s="10"/>
      <c r="F27" s="10"/>
      <c r="G27" s="10" t="str">
        <f t="shared" si="1"/>
        <v>-</v>
      </c>
      <c r="H27" s="24" t="s">
        <v>10</v>
      </c>
      <c r="I27" s="23" t="s">
        <v>46</v>
      </c>
      <c r="J27" s="24" t="s">
        <v>104</v>
      </c>
      <c r="K27" s="24" t="s">
        <v>104</v>
      </c>
      <c r="L27" s="23" t="s">
        <v>10</v>
      </c>
      <c r="M27" s="23" t="s">
        <v>46</v>
      </c>
      <c r="N27" s="24" t="s">
        <v>10</v>
      </c>
      <c r="O27" s="23" t="s">
        <v>10</v>
      </c>
      <c r="P27" s="24" t="s">
        <v>104</v>
      </c>
      <c r="Q27" s="23" t="s">
        <v>46</v>
      </c>
      <c r="R27" s="23" t="s">
        <v>46</v>
      </c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</row>
    <row r="28" spans="1:32" ht="15.6" x14ac:dyDescent="0.3">
      <c r="A28" s="43" t="s">
        <v>10</v>
      </c>
      <c r="B28" s="7">
        <v>25</v>
      </c>
      <c r="C28" s="11" t="s">
        <v>63</v>
      </c>
      <c r="D28" s="11" t="s">
        <v>64</v>
      </c>
      <c r="E28" s="11"/>
      <c r="F28" s="11"/>
      <c r="G28" s="11" t="str">
        <f t="shared" si="1"/>
        <v>-</v>
      </c>
      <c r="H28" s="24" t="s">
        <v>46</v>
      </c>
      <c r="I28" s="23" t="s">
        <v>46</v>
      </c>
      <c r="J28" s="24" t="s">
        <v>46</v>
      </c>
      <c r="K28" s="24" t="s">
        <v>46</v>
      </c>
      <c r="L28" s="23" t="s">
        <v>46</v>
      </c>
      <c r="M28" s="23" t="s">
        <v>46</v>
      </c>
      <c r="N28" s="24" t="s">
        <v>46</v>
      </c>
      <c r="O28" s="23" t="s">
        <v>46</v>
      </c>
      <c r="P28" s="24" t="s">
        <v>46</v>
      </c>
      <c r="Q28" s="23" t="s">
        <v>46</v>
      </c>
      <c r="R28" s="23" t="s">
        <v>46</v>
      </c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</row>
    <row r="29" spans="1:32" ht="15.6" x14ac:dyDescent="0.3">
      <c r="A29" s="38"/>
      <c r="B29" s="7">
        <v>26</v>
      </c>
      <c r="C29" s="11" t="s">
        <v>66</v>
      </c>
      <c r="D29" s="11" t="s">
        <v>67</v>
      </c>
      <c r="E29" s="11"/>
      <c r="F29" s="11"/>
      <c r="G29" s="11" t="str">
        <f t="shared" si="1"/>
        <v>-</v>
      </c>
      <c r="H29" s="24" t="s">
        <v>10</v>
      </c>
      <c r="I29" s="23" t="s">
        <v>46</v>
      </c>
      <c r="J29" s="24" t="s">
        <v>104</v>
      </c>
      <c r="K29" s="24" t="s">
        <v>10</v>
      </c>
      <c r="L29" s="23" t="s">
        <v>10</v>
      </c>
      <c r="M29" s="23" t="s">
        <v>104</v>
      </c>
      <c r="N29" s="24" t="s">
        <v>104</v>
      </c>
      <c r="O29" s="23" t="s">
        <v>10</v>
      </c>
      <c r="P29" s="24" t="s">
        <v>104</v>
      </c>
      <c r="Q29" s="23" t="s">
        <v>10</v>
      </c>
      <c r="R29" s="23" t="s">
        <v>10</v>
      </c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</row>
    <row r="30" spans="1:32" ht="15.6" x14ac:dyDescent="0.3">
      <c r="A30" s="38"/>
      <c r="B30" s="7">
        <v>27</v>
      </c>
      <c r="C30" s="11" t="s">
        <v>63</v>
      </c>
      <c r="D30" s="11" t="s">
        <v>66</v>
      </c>
      <c r="E30" s="11"/>
      <c r="F30" s="11"/>
      <c r="G30" s="11" t="str">
        <f t="shared" si="1"/>
        <v>-</v>
      </c>
      <c r="H30" s="24" t="s">
        <v>46</v>
      </c>
      <c r="I30" s="23" t="s">
        <v>46</v>
      </c>
      <c r="J30" s="24" t="s">
        <v>46</v>
      </c>
      <c r="K30" s="24" t="s">
        <v>46</v>
      </c>
      <c r="L30" s="23" t="s">
        <v>46</v>
      </c>
      <c r="M30" s="23" t="s">
        <v>46</v>
      </c>
      <c r="N30" s="24" t="s">
        <v>46</v>
      </c>
      <c r="O30" s="23" t="s">
        <v>46</v>
      </c>
      <c r="P30" s="24" t="s">
        <v>46</v>
      </c>
      <c r="Q30" s="23" t="s">
        <v>46</v>
      </c>
      <c r="R30" s="23" t="s">
        <v>46</v>
      </c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</row>
    <row r="31" spans="1:32" ht="15.6" x14ac:dyDescent="0.3">
      <c r="A31" s="38"/>
      <c r="B31" s="7">
        <v>28</v>
      </c>
      <c r="C31" s="11" t="s">
        <v>67</v>
      </c>
      <c r="D31" s="11" t="s">
        <v>64</v>
      </c>
      <c r="E31" s="11"/>
      <c r="F31" s="11"/>
      <c r="G31" s="11" t="str">
        <f t="shared" si="1"/>
        <v>-</v>
      </c>
      <c r="H31" s="24" t="s">
        <v>10</v>
      </c>
      <c r="I31" s="23" t="s">
        <v>104</v>
      </c>
      <c r="J31" s="24" t="s">
        <v>46</v>
      </c>
      <c r="K31" s="24" t="s">
        <v>46</v>
      </c>
      <c r="L31" s="23" t="s">
        <v>104</v>
      </c>
      <c r="M31" s="23" t="s">
        <v>46</v>
      </c>
      <c r="N31" s="24" t="s">
        <v>46</v>
      </c>
      <c r="O31" s="23" t="s">
        <v>10</v>
      </c>
      <c r="P31" s="24" t="s">
        <v>46</v>
      </c>
      <c r="Q31" s="23" t="s">
        <v>46</v>
      </c>
      <c r="R31" s="23" t="s">
        <v>46</v>
      </c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</row>
    <row r="32" spans="1:32" ht="15.6" x14ac:dyDescent="0.3">
      <c r="A32" s="38"/>
      <c r="B32" s="7">
        <v>29</v>
      </c>
      <c r="C32" s="11" t="s">
        <v>64</v>
      </c>
      <c r="D32" s="11" t="s">
        <v>66</v>
      </c>
      <c r="E32" s="11"/>
      <c r="F32" s="11"/>
      <c r="G32" s="11" t="str">
        <f t="shared" si="1"/>
        <v>-</v>
      </c>
      <c r="H32" s="24" t="s">
        <v>10</v>
      </c>
      <c r="I32" s="23" t="s">
        <v>104</v>
      </c>
      <c r="J32" s="24" t="s">
        <v>46</v>
      </c>
      <c r="K32" s="24" t="s">
        <v>104</v>
      </c>
      <c r="L32" s="23" t="s">
        <v>104</v>
      </c>
      <c r="M32" s="23" t="s">
        <v>104</v>
      </c>
      <c r="N32" s="24" t="s">
        <v>10</v>
      </c>
      <c r="O32" s="23" t="s">
        <v>10</v>
      </c>
      <c r="P32" s="24" t="s">
        <v>10</v>
      </c>
      <c r="Q32" s="23" t="s">
        <v>104</v>
      </c>
      <c r="R32" s="23" t="s">
        <v>104</v>
      </c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spans="1:32" ht="15.6" x14ac:dyDescent="0.3">
      <c r="A33" s="39"/>
      <c r="B33" s="7">
        <v>30</v>
      </c>
      <c r="C33" s="11" t="s">
        <v>67</v>
      </c>
      <c r="D33" s="11" t="s">
        <v>63</v>
      </c>
      <c r="E33" s="11"/>
      <c r="F33" s="11"/>
      <c r="G33" s="11" t="str">
        <f t="shared" si="1"/>
        <v>-</v>
      </c>
      <c r="H33" s="24" t="s">
        <v>104</v>
      </c>
      <c r="I33" s="23" t="s">
        <v>104</v>
      </c>
      <c r="J33" s="24" t="s">
        <v>104</v>
      </c>
      <c r="K33" s="24" t="s">
        <v>104</v>
      </c>
      <c r="L33" s="23" t="s">
        <v>104</v>
      </c>
      <c r="M33" s="23" t="s">
        <v>10</v>
      </c>
      <c r="N33" s="24" t="s">
        <v>10</v>
      </c>
      <c r="O33" s="23" t="s">
        <v>104</v>
      </c>
      <c r="P33" s="24" t="s">
        <v>46</v>
      </c>
      <c r="Q33" s="23" t="s">
        <v>104</v>
      </c>
      <c r="R33" s="23" t="s">
        <v>104</v>
      </c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ht="15.6" x14ac:dyDescent="0.3">
      <c r="A34" s="41" t="s">
        <v>11</v>
      </c>
      <c r="B34" s="7">
        <v>31</v>
      </c>
      <c r="C34" s="12" t="s">
        <v>65</v>
      </c>
      <c r="D34" s="12" t="s">
        <v>99</v>
      </c>
      <c r="E34" s="12"/>
      <c r="F34" s="12"/>
      <c r="G34" s="12" t="str">
        <f t="shared" si="1"/>
        <v>-</v>
      </c>
      <c r="H34" s="24" t="s">
        <v>10</v>
      </c>
      <c r="I34" s="23" t="s">
        <v>104</v>
      </c>
      <c r="J34" s="24" t="s">
        <v>46</v>
      </c>
      <c r="K34" s="24" t="s">
        <v>10</v>
      </c>
      <c r="L34" s="23" t="s">
        <v>10</v>
      </c>
      <c r="M34" s="23" t="s">
        <v>10</v>
      </c>
      <c r="N34" s="24" t="s">
        <v>104</v>
      </c>
      <c r="O34" s="23" t="s">
        <v>104</v>
      </c>
      <c r="P34" s="24" t="s">
        <v>46</v>
      </c>
      <c r="Q34" s="23" t="s">
        <v>46</v>
      </c>
      <c r="R34" s="23" t="s">
        <v>10</v>
      </c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ht="15.6" x14ac:dyDescent="0.3">
      <c r="A35" s="38"/>
      <c r="B35" s="7">
        <v>32</v>
      </c>
      <c r="C35" s="12" t="s">
        <v>68</v>
      </c>
      <c r="D35" s="12" t="s">
        <v>98</v>
      </c>
      <c r="E35" s="12"/>
      <c r="F35" s="12"/>
      <c r="G35" s="12" t="str">
        <f t="shared" si="1"/>
        <v>-</v>
      </c>
      <c r="H35" s="24" t="s">
        <v>46</v>
      </c>
      <c r="I35" s="23" t="s">
        <v>46</v>
      </c>
      <c r="J35" s="24" t="s">
        <v>46</v>
      </c>
      <c r="K35" s="24" t="s">
        <v>46</v>
      </c>
      <c r="L35" s="23" t="s">
        <v>46</v>
      </c>
      <c r="M35" s="23" t="s">
        <v>46</v>
      </c>
      <c r="N35" s="24" t="s">
        <v>46</v>
      </c>
      <c r="O35" s="23" t="s">
        <v>46</v>
      </c>
      <c r="P35" s="24" t="s">
        <v>46</v>
      </c>
      <c r="Q35" s="23" t="s">
        <v>46</v>
      </c>
      <c r="R35" s="23" t="s">
        <v>10</v>
      </c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 ht="15.6" x14ac:dyDescent="0.3">
      <c r="A36" s="38"/>
      <c r="B36" s="7">
        <v>33</v>
      </c>
      <c r="C36" s="12" t="s">
        <v>65</v>
      </c>
      <c r="D36" s="12" t="s">
        <v>68</v>
      </c>
      <c r="E36" s="12"/>
      <c r="F36" s="12"/>
      <c r="G36" s="12" t="str">
        <f t="shared" si="1"/>
        <v>-</v>
      </c>
      <c r="H36" s="24" t="s">
        <v>46</v>
      </c>
      <c r="I36" s="23" t="s">
        <v>46</v>
      </c>
      <c r="J36" s="24" t="s">
        <v>104</v>
      </c>
      <c r="K36" s="24" t="s">
        <v>10</v>
      </c>
      <c r="L36" s="23" t="s">
        <v>46</v>
      </c>
      <c r="M36" s="23" t="s">
        <v>46</v>
      </c>
      <c r="N36" s="24" t="s">
        <v>46</v>
      </c>
      <c r="O36" s="23" t="s">
        <v>46</v>
      </c>
      <c r="P36" s="24" t="s">
        <v>46</v>
      </c>
      <c r="Q36" s="23" t="s">
        <v>46</v>
      </c>
      <c r="R36" s="23" t="s">
        <v>46</v>
      </c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</row>
    <row r="37" spans="1:32" ht="15.6" x14ac:dyDescent="0.3">
      <c r="A37" s="38"/>
      <c r="B37" s="7">
        <v>34</v>
      </c>
      <c r="C37" s="12" t="s">
        <v>98</v>
      </c>
      <c r="D37" s="12" t="s">
        <v>99</v>
      </c>
      <c r="E37" s="12"/>
      <c r="F37" s="12"/>
      <c r="G37" s="12" t="str">
        <f t="shared" si="1"/>
        <v>-</v>
      </c>
      <c r="H37" s="24" t="s">
        <v>104</v>
      </c>
      <c r="I37" s="23" t="s">
        <v>104</v>
      </c>
      <c r="J37" s="24" t="s">
        <v>104</v>
      </c>
      <c r="K37" s="24" t="s">
        <v>104</v>
      </c>
      <c r="L37" s="23" t="s">
        <v>104</v>
      </c>
      <c r="M37" s="23" t="s">
        <v>104</v>
      </c>
      <c r="N37" s="24" t="s">
        <v>104</v>
      </c>
      <c r="O37" s="23" t="s">
        <v>104</v>
      </c>
      <c r="P37" s="24" t="s">
        <v>104</v>
      </c>
      <c r="Q37" s="23" t="s">
        <v>104</v>
      </c>
      <c r="R37" s="23" t="s">
        <v>10</v>
      </c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</row>
    <row r="38" spans="1:32" ht="15.6" x14ac:dyDescent="0.3">
      <c r="A38" s="38"/>
      <c r="B38" s="7">
        <v>35</v>
      </c>
      <c r="C38" s="12" t="s">
        <v>99</v>
      </c>
      <c r="D38" s="12" t="s">
        <v>68</v>
      </c>
      <c r="E38" s="12"/>
      <c r="F38" s="12"/>
      <c r="G38" s="12" t="str">
        <f t="shared" si="1"/>
        <v>-</v>
      </c>
      <c r="H38" s="24" t="s">
        <v>46</v>
      </c>
      <c r="I38" s="23" t="s">
        <v>10</v>
      </c>
      <c r="J38" s="24" t="s">
        <v>10</v>
      </c>
      <c r="K38" s="24" t="s">
        <v>10</v>
      </c>
      <c r="L38" s="23" t="s">
        <v>46</v>
      </c>
      <c r="M38" s="23" t="s">
        <v>46</v>
      </c>
      <c r="N38" s="24" t="s">
        <v>104</v>
      </c>
      <c r="O38" s="23" t="s">
        <v>10</v>
      </c>
      <c r="P38" s="24" t="s">
        <v>10</v>
      </c>
      <c r="Q38" s="23" t="s">
        <v>10</v>
      </c>
      <c r="R38" s="23" t="s">
        <v>46</v>
      </c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</row>
    <row r="39" spans="1:32" ht="15.6" x14ac:dyDescent="0.3">
      <c r="A39" s="39"/>
      <c r="B39" s="7">
        <v>36</v>
      </c>
      <c r="C39" s="12" t="s">
        <v>98</v>
      </c>
      <c r="D39" s="12" t="s">
        <v>65</v>
      </c>
      <c r="E39" s="12"/>
      <c r="F39" s="12"/>
      <c r="G39" s="12" t="str">
        <f t="shared" si="1"/>
        <v>-</v>
      </c>
      <c r="H39" s="24" t="s">
        <v>104</v>
      </c>
      <c r="I39" s="23" t="s">
        <v>10</v>
      </c>
      <c r="J39" s="24" t="s">
        <v>10</v>
      </c>
      <c r="K39" s="24" t="s">
        <v>104</v>
      </c>
      <c r="L39" s="23" t="s">
        <v>104</v>
      </c>
      <c r="M39" s="23" t="s">
        <v>104</v>
      </c>
      <c r="N39" s="24" t="s">
        <v>104</v>
      </c>
      <c r="O39" s="23" t="s">
        <v>104</v>
      </c>
      <c r="P39" s="24" t="s">
        <v>104</v>
      </c>
      <c r="Q39" s="23" t="s">
        <v>104</v>
      </c>
      <c r="R39" s="23" t="s">
        <v>10</v>
      </c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</row>
    <row r="40" spans="1:32" ht="15.6" x14ac:dyDescent="0.3">
      <c r="A40" s="40" t="s">
        <v>12</v>
      </c>
      <c r="B40" s="7">
        <v>37</v>
      </c>
      <c r="C40" s="13" t="s">
        <v>71</v>
      </c>
      <c r="D40" s="13" t="s">
        <v>72</v>
      </c>
      <c r="E40" s="13"/>
      <c r="F40" s="13"/>
      <c r="G40" s="13" t="str">
        <f t="shared" si="1"/>
        <v>-</v>
      </c>
      <c r="H40" s="24" t="s">
        <v>46</v>
      </c>
      <c r="I40" s="23" t="s">
        <v>46</v>
      </c>
      <c r="J40" s="24" t="s">
        <v>46</v>
      </c>
      <c r="K40" s="24" t="s">
        <v>46</v>
      </c>
      <c r="L40" s="23" t="s">
        <v>46</v>
      </c>
      <c r="M40" s="23" t="s">
        <v>10</v>
      </c>
      <c r="N40" s="24" t="s">
        <v>46</v>
      </c>
      <c r="O40" s="23" t="s">
        <v>46</v>
      </c>
      <c r="P40" s="24" t="s">
        <v>104</v>
      </c>
      <c r="Q40" s="23" t="s">
        <v>46</v>
      </c>
      <c r="R40" s="23" t="s">
        <v>46</v>
      </c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</row>
    <row r="41" spans="1:32" ht="15.6" x14ac:dyDescent="0.3">
      <c r="A41" s="38"/>
      <c r="B41" s="7">
        <v>38</v>
      </c>
      <c r="C41" s="13" t="s">
        <v>75</v>
      </c>
      <c r="D41" s="13" t="s">
        <v>76</v>
      </c>
      <c r="E41" s="13"/>
      <c r="F41" s="13"/>
      <c r="G41" s="13" t="str">
        <f t="shared" si="1"/>
        <v>-</v>
      </c>
      <c r="H41" s="24" t="s">
        <v>46</v>
      </c>
      <c r="I41" s="23" t="s">
        <v>46</v>
      </c>
      <c r="J41" s="24" t="s">
        <v>104</v>
      </c>
      <c r="K41" s="24" t="s">
        <v>10</v>
      </c>
      <c r="L41" s="23" t="s">
        <v>10</v>
      </c>
      <c r="M41" s="23" t="s">
        <v>104</v>
      </c>
      <c r="N41" s="24" t="s">
        <v>104</v>
      </c>
      <c r="O41" s="23" t="s">
        <v>10</v>
      </c>
      <c r="P41" s="24" t="s">
        <v>104</v>
      </c>
      <c r="Q41" s="23" t="s">
        <v>46</v>
      </c>
      <c r="R41" s="23" t="s">
        <v>46</v>
      </c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</row>
    <row r="42" spans="1:32" ht="15.6" x14ac:dyDescent="0.3">
      <c r="A42" s="38"/>
      <c r="B42" s="7">
        <v>39</v>
      </c>
      <c r="C42" s="13" t="s">
        <v>71</v>
      </c>
      <c r="D42" s="13" t="s">
        <v>75</v>
      </c>
      <c r="E42" s="13"/>
      <c r="F42" s="13"/>
      <c r="G42" s="13" t="str">
        <f t="shared" si="1"/>
        <v>-</v>
      </c>
      <c r="H42" s="24" t="s">
        <v>46</v>
      </c>
      <c r="I42" s="23" t="s">
        <v>10</v>
      </c>
      <c r="J42" s="24" t="s">
        <v>46</v>
      </c>
      <c r="K42" s="24" t="s">
        <v>46</v>
      </c>
      <c r="L42" s="23" t="s">
        <v>46</v>
      </c>
      <c r="M42" s="23" t="s">
        <v>46</v>
      </c>
      <c r="N42" s="24" t="s">
        <v>46</v>
      </c>
      <c r="O42" s="23" t="s">
        <v>46</v>
      </c>
      <c r="P42" s="24" t="s">
        <v>46</v>
      </c>
      <c r="Q42" s="23" t="s">
        <v>46</v>
      </c>
      <c r="R42" s="23" t="s">
        <v>46</v>
      </c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</row>
    <row r="43" spans="1:32" ht="15.6" x14ac:dyDescent="0.3">
      <c r="A43" s="38"/>
      <c r="B43" s="7">
        <v>40</v>
      </c>
      <c r="C43" s="13" t="s">
        <v>76</v>
      </c>
      <c r="D43" s="13" t="s">
        <v>72</v>
      </c>
      <c r="E43" s="13"/>
      <c r="F43" s="13"/>
      <c r="G43" s="13" t="str">
        <f t="shared" si="1"/>
        <v>-</v>
      </c>
      <c r="H43" s="24" t="s">
        <v>10</v>
      </c>
      <c r="I43" s="23" t="s">
        <v>104</v>
      </c>
      <c r="J43" s="24" t="s">
        <v>46</v>
      </c>
      <c r="K43" s="24" t="s">
        <v>46</v>
      </c>
      <c r="L43" s="23" t="s">
        <v>10</v>
      </c>
      <c r="M43" s="23" t="s">
        <v>104</v>
      </c>
      <c r="N43" s="24" t="s">
        <v>10</v>
      </c>
      <c r="O43" s="23" t="s">
        <v>46</v>
      </c>
      <c r="P43" s="24" t="s">
        <v>10</v>
      </c>
      <c r="Q43" s="23" t="s">
        <v>104</v>
      </c>
      <c r="R43" s="23" t="s">
        <v>104</v>
      </c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</row>
    <row r="44" spans="1:32" ht="15.6" x14ac:dyDescent="0.3">
      <c r="A44" s="38"/>
      <c r="B44" s="7">
        <v>41</v>
      </c>
      <c r="C44" s="13" t="s">
        <v>72</v>
      </c>
      <c r="D44" s="13" t="s">
        <v>75</v>
      </c>
      <c r="E44" s="13"/>
      <c r="F44" s="13"/>
      <c r="G44" s="13" t="str">
        <f t="shared" si="1"/>
        <v>-</v>
      </c>
      <c r="H44" s="24" t="s">
        <v>46</v>
      </c>
      <c r="I44" s="23" t="s">
        <v>104</v>
      </c>
      <c r="J44" s="24" t="s">
        <v>104</v>
      </c>
      <c r="K44" s="24" t="s">
        <v>104</v>
      </c>
      <c r="L44" s="23" t="s">
        <v>104</v>
      </c>
      <c r="M44" s="23" t="s">
        <v>46</v>
      </c>
      <c r="N44" s="24" t="s">
        <v>10</v>
      </c>
      <c r="O44" s="23" t="s">
        <v>10</v>
      </c>
      <c r="P44" s="24" t="s">
        <v>10</v>
      </c>
      <c r="Q44" s="23" t="s">
        <v>10</v>
      </c>
      <c r="R44" s="23" t="s">
        <v>10</v>
      </c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</row>
    <row r="45" spans="1:32" ht="15.6" x14ac:dyDescent="0.3">
      <c r="A45" s="39"/>
      <c r="B45" s="7">
        <v>42</v>
      </c>
      <c r="C45" s="13" t="s">
        <v>76</v>
      </c>
      <c r="D45" s="13" t="s">
        <v>71</v>
      </c>
      <c r="E45" s="13"/>
      <c r="F45" s="13"/>
      <c r="G45" s="13" t="str">
        <f t="shared" si="1"/>
        <v>-</v>
      </c>
      <c r="H45" s="24" t="s">
        <v>104</v>
      </c>
      <c r="I45" s="23" t="s">
        <v>104</v>
      </c>
      <c r="J45" s="24" t="s">
        <v>104</v>
      </c>
      <c r="K45" s="24" t="s">
        <v>104</v>
      </c>
      <c r="L45" s="23" t="s">
        <v>104</v>
      </c>
      <c r="M45" s="23" t="s">
        <v>104</v>
      </c>
      <c r="N45" s="24" t="s">
        <v>104</v>
      </c>
      <c r="O45" s="23" t="s">
        <v>104</v>
      </c>
      <c r="P45" s="24" t="s">
        <v>104</v>
      </c>
      <c r="Q45" s="23" t="s">
        <v>104</v>
      </c>
      <c r="R45" s="23" t="s">
        <v>104</v>
      </c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</row>
    <row r="46" spans="1:32" ht="15.6" x14ac:dyDescent="0.3">
      <c r="A46" s="57" t="s">
        <v>13</v>
      </c>
      <c r="B46" s="7">
        <v>43</v>
      </c>
      <c r="C46" s="14" t="s">
        <v>69</v>
      </c>
      <c r="D46" s="14" t="s">
        <v>70</v>
      </c>
      <c r="E46" s="14"/>
      <c r="F46" s="14"/>
      <c r="G46" s="14" t="str">
        <f t="shared" si="1"/>
        <v>-</v>
      </c>
      <c r="H46" s="24" t="s">
        <v>46</v>
      </c>
      <c r="I46" s="23" t="s">
        <v>46</v>
      </c>
      <c r="J46" s="24" t="s">
        <v>46</v>
      </c>
      <c r="K46" s="24" t="s">
        <v>46</v>
      </c>
      <c r="L46" s="23" t="s">
        <v>46</v>
      </c>
      <c r="M46" s="23" t="s">
        <v>46</v>
      </c>
      <c r="N46" s="24" t="s">
        <v>46</v>
      </c>
      <c r="O46" s="23" t="s">
        <v>46</v>
      </c>
      <c r="P46" s="24" t="s">
        <v>46</v>
      </c>
      <c r="Q46" s="23" t="s">
        <v>46</v>
      </c>
      <c r="R46" s="23" t="s">
        <v>46</v>
      </c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</row>
    <row r="47" spans="1:32" ht="15.6" x14ac:dyDescent="0.3">
      <c r="A47" s="38"/>
      <c r="B47" s="7">
        <v>44</v>
      </c>
      <c r="C47" s="14" t="s">
        <v>73</v>
      </c>
      <c r="D47" s="14" t="s">
        <v>74</v>
      </c>
      <c r="E47" s="14"/>
      <c r="F47" s="14"/>
      <c r="G47" s="14" t="str">
        <f t="shared" si="1"/>
        <v>-</v>
      </c>
      <c r="H47" s="24" t="s">
        <v>104</v>
      </c>
      <c r="I47" s="23" t="s">
        <v>104</v>
      </c>
      <c r="J47" s="24" t="s">
        <v>104</v>
      </c>
      <c r="K47" s="24" t="s">
        <v>104</v>
      </c>
      <c r="L47" s="23" t="s">
        <v>104</v>
      </c>
      <c r="M47" s="23" t="s">
        <v>104</v>
      </c>
      <c r="N47" s="24" t="s">
        <v>104</v>
      </c>
      <c r="O47" s="23" t="s">
        <v>10</v>
      </c>
      <c r="P47" s="24" t="s">
        <v>104</v>
      </c>
      <c r="Q47" s="23" t="s">
        <v>104</v>
      </c>
      <c r="R47" s="23" t="s">
        <v>104</v>
      </c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</row>
    <row r="48" spans="1:32" ht="15.6" x14ac:dyDescent="0.3">
      <c r="A48" s="38"/>
      <c r="B48" s="7">
        <v>45</v>
      </c>
      <c r="C48" s="14" t="s">
        <v>69</v>
      </c>
      <c r="D48" s="14" t="s">
        <v>100</v>
      </c>
      <c r="E48" s="14"/>
      <c r="F48" s="14"/>
      <c r="G48" s="14" t="str">
        <f t="shared" si="1"/>
        <v>-</v>
      </c>
      <c r="H48" s="24" t="s">
        <v>46</v>
      </c>
      <c r="I48" s="23" t="s">
        <v>46</v>
      </c>
      <c r="J48" s="24" t="s">
        <v>46</v>
      </c>
      <c r="K48" s="24" t="s">
        <v>46</v>
      </c>
      <c r="L48" s="23" t="s">
        <v>46</v>
      </c>
      <c r="M48" s="23" t="s">
        <v>46</v>
      </c>
      <c r="N48" s="24" t="s">
        <v>46</v>
      </c>
      <c r="O48" s="23" t="s">
        <v>46</v>
      </c>
      <c r="P48" s="24" t="s">
        <v>46</v>
      </c>
      <c r="Q48" s="23" t="s">
        <v>46</v>
      </c>
      <c r="R48" s="23" t="s">
        <v>46</v>
      </c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</row>
    <row r="49" spans="1:37" ht="15.6" x14ac:dyDescent="0.3">
      <c r="A49" s="38"/>
      <c r="B49" s="7">
        <v>46</v>
      </c>
      <c r="C49" s="14" t="s">
        <v>74</v>
      </c>
      <c r="D49" s="14" t="s">
        <v>70</v>
      </c>
      <c r="E49" s="14"/>
      <c r="F49" s="14"/>
      <c r="G49" s="14" t="str">
        <f t="shared" si="1"/>
        <v>-</v>
      </c>
      <c r="H49" s="24" t="s">
        <v>46</v>
      </c>
      <c r="I49" s="23" t="s">
        <v>104</v>
      </c>
      <c r="J49" s="24" t="s">
        <v>46</v>
      </c>
      <c r="K49" s="24" t="s">
        <v>46</v>
      </c>
      <c r="L49" s="23" t="s">
        <v>46</v>
      </c>
      <c r="M49" s="23" t="s">
        <v>46</v>
      </c>
      <c r="N49" s="24" t="s">
        <v>46</v>
      </c>
      <c r="O49" s="23" t="s">
        <v>46</v>
      </c>
      <c r="P49" s="24" t="s">
        <v>46</v>
      </c>
      <c r="Q49" s="23" t="s">
        <v>46</v>
      </c>
      <c r="R49" s="23" t="s">
        <v>46</v>
      </c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</row>
    <row r="50" spans="1:37" ht="15.6" x14ac:dyDescent="0.3">
      <c r="A50" s="38"/>
      <c r="B50" s="7">
        <v>47</v>
      </c>
      <c r="C50" s="14" t="s">
        <v>70</v>
      </c>
      <c r="D50" s="14" t="s">
        <v>100</v>
      </c>
      <c r="E50" s="14"/>
      <c r="F50" s="14"/>
      <c r="G50" s="14" t="str">
        <f t="shared" si="1"/>
        <v>-</v>
      </c>
      <c r="H50" s="24" t="s">
        <v>10</v>
      </c>
      <c r="I50" s="23" t="s">
        <v>104</v>
      </c>
      <c r="J50" s="24" t="s">
        <v>10</v>
      </c>
      <c r="K50" s="24" t="s">
        <v>10</v>
      </c>
      <c r="L50" s="23" t="s">
        <v>104</v>
      </c>
      <c r="M50" s="23" t="s">
        <v>10</v>
      </c>
      <c r="N50" s="24" t="s">
        <v>104</v>
      </c>
      <c r="O50" s="23" t="s">
        <v>10</v>
      </c>
      <c r="P50" s="24" t="s">
        <v>10</v>
      </c>
      <c r="Q50" s="23" t="s">
        <v>10</v>
      </c>
      <c r="R50" s="23" t="s">
        <v>10</v>
      </c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</row>
    <row r="51" spans="1:37" ht="15.6" x14ac:dyDescent="0.3">
      <c r="A51" s="39"/>
      <c r="B51" s="7">
        <v>48</v>
      </c>
      <c r="C51" s="14" t="s">
        <v>74</v>
      </c>
      <c r="D51" s="14" t="s">
        <v>69</v>
      </c>
      <c r="E51" s="14"/>
      <c r="F51" s="14"/>
      <c r="G51" s="14" t="str">
        <f t="shared" si="1"/>
        <v>-</v>
      </c>
      <c r="H51" s="24" t="s">
        <v>10</v>
      </c>
      <c r="I51" s="23" t="s">
        <v>104</v>
      </c>
      <c r="J51" s="24" t="s">
        <v>104</v>
      </c>
      <c r="K51" s="24" t="s">
        <v>10</v>
      </c>
      <c r="L51" s="23" t="s">
        <v>104</v>
      </c>
      <c r="M51" s="23" t="s">
        <v>104</v>
      </c>
      <c r="N51" s="24" t="s">
        <v>10</v>
      </c>
      <c r="O51" s="23" t="s">
        <v>104</v>
      </c>
      <c r="P51" s="24" t="s">
        <v>104</v>
      </c>
      <c r="Q51" s="23" t="s">
        <v>104</v>
      </c>
      <c r="R51" s="23" t="s">
        <v>104</v>
      </c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</row>
    <row r="52" spans="1:37" ht="15.6" x14ac:dyDescent="0.3">
      <c r="A52" s="60" t="s">
        <v>77</v>
      </c>
      <c r="B52" s="7">
        <v>49</v>
      </c>
      <c r="C52" s="15" t="s">
        <v>80</v>
      </c>
      <c r="D52" s="15" t="s">
        <v>81</v>
      </c>
      <c r="E52" s="15"/>
      <c r="F52" s="15"/>
      <c r="G52" s="15" t="str">
        <f t="shared" ref="G52:G75" si="2">IF(E52="","-",IF(E52&gt;F52,"L",IF(E52=F52,"E",IF(E52&lt;F52,"V"))))</f>
        <v>-</v>
      </c>
      <c r="H52" s="26" t="s">
        <v>46</v>
      </c>
      <c r="I52" s="25" t="s">
        <v>10</v>
      </c>
      <c r="J52" s="26" t="s">
        <v>104</v>
      </c>
      <c r="K52" s="26" t="s">
        <v>46</v>
      </c>
      <c r="L52" s="25" t="s">
        <v>46</v>
      </c>
      <c r="M52" s="25" t="s">
        <v>46</v>
      </c>
      <c r="N52" s="26" t="s">
        <v>46</v>
      </c>
      <c r="O52" s="25" t="s">
        <v>46</v>
      </c>
      <c r="P52" s="26" t="s">
        <v>10</v>
      </c>
      <c r="Q52" s="25" t="s">
        <v>46</v>
      </c>
      <c r="R52" s="25" t="s">
        <v>46</v>
      </c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</row>
    <row r="53" spans="1:37" ht="15.6" x14ac:dyDescent="0.3">
      <c r="A53" s="61"/>
      <c r="B53" s="7">
        <v>50</v>
      </c>
      <c r="C53" s="15" t="s">
        <v>82</v>
      </c>
      <c r="D53" s="15" t="s">
        <v>83</v>
      </c>
      <c r="E53" s="15"/>
      <c r="F53" s="15"/>
      <c r="G53" s="15" t="str">
        <f t="shared" si="2"/>
        <v>-</v>
      </c>
      <c r="H53" s="26" t="s">
        <v>10</v>
      </c>
      <c r="I53" s="25" t="s">
        <v>104</v>
      </c>
      <c r="J53" s="26" t="s">
        <v>104</v>
      </c>
      <c r="K53" s="26" t="s">
        <v>46</v>
      </c>
      <c r="L53" s="25" t="s">
        <v>104</v>
      </c>
      <c r="M53" s="25" t="s">
        <v>104</v>
      </c>
      <c r="N53" s="26" t="s">
        <v>104</v>
      </c>
      <c r="O53" s="25" t="s">
        <v>104</v>
      </c>
      <c r="P53" s="26" t="s">
        <v>104</v>
      </c>
      <c r="Q53" s="25" t="s">
        <v>104</v>
      </c>
      <c r="R53" s="25" t="s">
        <v>104</v>
      </c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</row>
    <row r="54" spans="1:37" ht="15.6" x14ac:dyDescent="0.3">
      <c r="A54" s="61"/>
      <c r="B54" s="7">
        <v>51</v>
      </c>
      <c r="C54" s="15" t="s">
        <v>80</v>
      </c>
      <c r="D54" s="15" t="s">
        <v>82</v>
      </c>
      <c r="E54" s="15"/>
      <c r="F54" s="15"/>
      <c r="G54" s="15" t="str">
        <f t="shared" si="2"/>
        <v>-</v>
      </c>
      <c r="H54" s="26" t="s">
        <v>46</v>
      </c>
      <c r="I54" s="25" t="s">
        <v>46</v>
      </c>
      <c r="J54" s="26" t="s">
        <v>46</v>
      </c>
      <c r="K54" s="26" t="s">
        <v>46</v>
      </c>
      <c r="L54" s="25" t="s">
        <v>46</v>
      </c>
      <c r="M54" s="25" t="s">
        <v>46</v>
      </c>
      <c r="N54" s="26" t="s">
        <v>46</v>
      </c>
      <c r="O54" s="25" t="s">
        <v>46</v>
      </c>
      <c r="P54" s="26" t="s">
        <v>46</v>
      </c>
      <c r="Q54" s="25" t="s">
        <v>46</v>
      </c>
      <c r="R54" s="25" t="s">
        <v>46</v>
      </c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</row>
    <row r="55" spans="1:37" ht="15.6" x14ac:dyDescent="0.3">
      <c r="A55" s="61"/>
      <c r="B55" s="7">
        <v>52</v>
      </c>
      <c r="C55" s="15" t="s">
        <v>83</v>
      </c>
      <c r="D55" s="15" t="s">
        <v>81</v>
      </c>
      <c r="E55" s="15"/>
      <c r="F55" s="15"/>
      <c r="G55" s="15" t="str">
        <f t="shared" si="2"/>
        <v>-</v>
      </c>
      <c r="H55" s="26" t="s">
        <v>46</v>
      </c>
      <c r="I55" s="25" t="s">
        <v>10</v>
      </c>
      <c r="J55" s="26" t="s">
        <v>104</v>
      </c>
      <c r="K55" s="26" t="s">
        <v>46</v>
      </c>
      <c r="L55" s="25" t="s">
        <v>10</v>
      </c>
      <c r="M55" s="25" t="s">
        <v>46</v>
      </c>
      <c r="N55" s="26" t="s">
        <v>46</v>
      </c>
      <c r="O55" s="25" t="s">
        <v>46</v>
      </c>
      <c r="P55" s="26" t="s">
        <v>104</v>
      </c>
      <c r="Q55" s="25" t="s">
        <v>10</v>
      </c>
      <c r="R55" s="25" t="s">
        <v>46</v>
      </c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K55" s="31"/>
    </row>
    <row r="56" spans="1:37" ht="15.6" x14ac:dyDescent="0.3">
      <c r="A56" s="61"/>
      <c r="B56" s="7">
        <v>53</v>
      </c>
      <c r="C56" s="15" t="s">
        <v>83</v>
      </c>
      <c r="D56" s="15" t="s">
        <v>80</v>
      </c>
      <c r="E56" s="15"/>
      <c r="F56" s="15"/>
      <c r="G56" s="15" t="str">
        <f t="shared" si="2"/>
        <v>-</v>
      </c>
      <c r="H56" s="26" t="s">
        <v>104</v>
      </c>
      <c r="I56" s="25" t="s">
        <v>10</v>
      </c>
      <c r="J56" s="26" t="s">
        <v>104</v>
      </c>
      <c r="K56" s="26" t="s">
        <v>104</v>
      </c>
      <c r="L56" s="25" t="s">
        <v>46</v>
      </c>
      <c r="M56" s="25" t="s">
        <v>104</v>
      </c>
      <c r="N56" s="26" t="s">
        <v>10</v>
      </c>
      <c r="O56" s="25" t="s">
        <v>104</v>
      </c>
      <c r="P56" s="26" t="s">
        <v>10</v>
      </c>
      <c r="Q56" s="25" t="s">
        <v>104</v>
      </c>
      <c r="R56" s="25" t="s">
        <v>104</v>
      </c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</row>
    <row r="57" spans="1:37" ht="15.6" x14ac:dyDescent="0.3">
      <c r="A57" s="62"/>
      <c r="B57" s="7">
        <v>54</v>
      </c>
      <c r="C57" s="15" t="s">
        <v>81</v>
      </c>
      <c r="D57" s="15" t="s">
        <v>82</v>
      </c>
      <c r="E57" s="15"/>
      <c r="F57" s="15"/>
      <c r="G57" s="15" t="str">
        <f t="shared" si="2"/>
        <v>-</v>
      </c>
      <c r="H57" s="26" t="s">
        <v>10</v>
      </c>
      <c r="I57" s="25" t="s">
        <v>46</v>
      </c>
      <c r="J57" s="26" t="s">
        <v>46</v>
      </c>
      <c r="K57" s="26" t="s">
        <v>104</v>
      </c>
      <c r="L57" s="25" t="s">
        <v>10</v>
      </c>
      <c r="M57" s="25" t="s">
        <v>46</v>
      </c>
      <c r="N57" s="26" t="s">
        <v>10</v>
      </c>
      <c r="O57" s="25" t="s">
        <v>10</v>
      </c>
      <c r="P57" s="26" t="s">
        <v>46</v>
      </c>
      <c r="Q57" s="25" t="s">
        <v>46</v>
      </c>
      <c r="R57" s="25" t="s">
        <v>10</v>
      </c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</row>
    <row r="58" spans="1:37" ht="15.6" x14ac:dyDescent="0.3">
      <c r="A58" s="63" t="s">
        <v>78</v>
      </c>
      <c r="B58" s="7">
        <v>55</v>
      </c>
      <c r="C58" s="16" t="s">
        <v>84</v>
      </c>
      <c r="D58" s="16" t="s">
        <v>85</v>
      </c>
      <c r="E58" s="16"/>
      <c r="F58" s="16"/>
      <c r="G58" s="16" t="str">
        <f t="shared" si="2"/>
        <v>-</v>
      </c>
      <c r="H58" s="26" t="s">
        <v>46</v>
      </c>
      <c r="I58" s="25" t="s">
        <v>10</v>
      </c>
      <c r="J58" s="26" t="s">
        <v>46</v>
      </c>
      <c r="K58" s="26" t="s">
        <v>46</v>
      </c>
      <c r="L58" s="25" t="s">
        <v>46</v>
      </c>
      <c r="M58" s="25" t="s">
        <v>46</v>
      </c>
      <c r="N58" s="26" t="s">
        <v>46</v>
      </c>
      <c r="O58" s="25" t="s">
        <v>46</v>
      </c>
      <c r="P58" s="26" t="s">
        <v>46</v>
      </c>
      <c r="Q58" s="25" t="s">
        <v>46</v>
      </c>
      <c r="R58" s="25" t="s">
        <v>46</v>
      </c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</row>
    <row r="59" spans="1:37" ht="15.6" x14ac:dyDescent="0.3">
      <c r="A59" s="64"/>
      <c r="B59" s="7">
        <v>56</v>
      </c>
      <c r="C59" s="16" t="s">
        <v>86</v>
      </c>
      <c r="D59" s="16" t="s">
        <v>87</v>
      </c>
      <c r="E59" s="16"/>
      <c r="F59" s="16"/>
      <c r="G59" s="16" t="str">
        <f t="shared" si="2"/>
        <v>-</v>
      </c>
      <c r="H59" s="26" t="s">
        <v>46</v>
      </c>
      <c r="I59" s="25" t="s">
        <v>46</v>
      </c>
      <c r="J59" s="26" t="s">
        <v>46</v>
      </c>
      <c r="K59" s="26" t="s">
        <v>46</v>
      </c>
      <c r="L59" s="25" t="s">
        <v>46</v>
      </c>
      <c r="M59" s="25" t="s">
        <v>46</v>
      </c>
      <c r="N59" s="26" t="s">
        <v>46</v>
      </c>
      <c r="O59" s="25" t="s">
        <v>10</v>
      </c>
      <c r="P59" s="26" t="s">
        <v>10</v>
      </c>
      <c r="Q59" s="25" t="s">
        <v>46</v>
      </c>
      <c r="R59" s="25" t="s">
        <v>46</v>
      </c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</row>
    <row r="60" spans="1:37" ht="15.6" x14ac:dyDescent="0.3">
      <c r="A60" s="64"/>
      <c r="B60" s="7">
        <v>57</v>
      </c>
      <c r="C60" s="16" t="s">
        <v>84</v>
      </c>
      <c r="D60" s="16" t="s">
        <v>86</v>
      </c>
      <c r="E60" s="16"/>
      <c r="F60" s="16"/>
      <c r="G60" s="16" t="str">
        <f t="shared" si="2"/>
        <v>-</v>
      </c>
      <c r="H60" s="26" t="s">
        <v>46</v>
      </c>
      <c r="I60" s="25" t="s">
        <v>46</v>
      </c>
      <c r="J60" s="26" t="s">
        <v>46</v>
      </c>
      <c r="K60" s="26" t="s">
        <v>10</v>
      </c>
      <c r="L60" s="25" t="s">
        <v>46</v>
      </c>
      <c r="M60" s="25" t="s">
        <v>46</v>
      </c>
      <c r="N60" s="26" t="s">
        <v>46</v>
      </c>
      <c r="O60" s="25" t="s">
        <v>46</v>
      </c>
      <c r="P60" s="26" t="s">
        <v>46</v>
      </c>
      <c r="Q60" s="25" t="s">
        <v>46</v>
      </c>
      <c r="R60" s="25" t="s">
        <v>46</v>
      </c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</row>
    <row r="61" spans="1:37" ht="15.6" x14ac:dyDescent="0.3">
      <c r="A61" s="64"/>
      <c r="B61" s="7">
        <v>58</v>
      </c>
      <c r="C61" s="16" t="s">
        <v>87</v>
      </c>
      <c r="D61" s="16" t="s">
        <v>85</v>
      </c>
      <c r="E61" s="16"/>
      <c r="F61" s="16"/>
      <c r="G61" s="16" t="str">
        <f t="shared" si="2"/>
        <v>-</v>
      </c>
      <c r="H61" s="26" t="s">
        <v>10</v>
      </c>
      <c r="I61" s="25" t="s">
        <v>104</v>
      </c>
      <c r="J61" s="26" t="s">
        <v>10</v>
      </c>
      <c r="K61" s="26" t="s">
        <v>46</v>
      </c>
      <c r="L61" s="25" t="s">
        <v>104</v>
      </c>
      <c r="M61" s="25" t="s">
        <v>10</v>
      </c>
      <c r="N61" s="26" t="s">
        <v>46</v>
      </c>
      <c r="O61" s="25" t="s">
        <v>10</v>
      </c>
      <c r="P61" s="26" t="s">
        <v>46</v>
      </c>
      <c r="Q61" s="25" t="s">
        <v>104</v>
      </c>
      <c r="R61" s="25" t="s">
        <v>104</v>
      </c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</row>
    <row r="62" spans="1:37" ht="15.6" x14ac:dyDescent="0.3">
      <c r="A62" s="64"/>
      <c r="B62" s="7">
        <v>59</v>
      </c>
      <c r="C62" s="16" t="s">
        <v>85</v>
      </c>
      <c r="D62" s="16" t="s">
        <v>86</v>
      </c>
      <c r="E62" s="16"/>
      <c r="F62" s="16"/>
      <c r="G62" s="16" t="str">
        <f t="shared" si="2"/>
        <v>-</v>
      </c>
      <c r="H62" s="26" t="s">
        <v>10</v>
      </c>
      <c r="I62" s="25" t="s">
        <v>10</v>
      </c>
      <c r="J62" s="26" t="s">
        <v>104</v>
      </c>
      <c r="K62" s="26" t="s">
        <v>104</v>
      </c>
      <c r="L62" s="25" t="s">
        <v>104</v>
      </c>
      <c r="M62" s="25" t="s">
        <v>104</v>
      </c>
      <c r="N62" s="26" t="s">
        <v>104</v>
      </c>
      <c r="O62" s="25" t="s">
        <v>10</v>
      </c>
      <c r="P62" s="26" t="s">
        <v>10</v>
      </c>
      <c r="Q62" s="25" t="s">
        <v>104</v>
      </c>
      <c r="R62" s="25" t="s">
        <v>10</v>
      </c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</row>
    <row r="63" spans="1:37" ht="15.6" x14ac:dyDescent="0.3">
      <c r="A63" s="65"/>
      <c r="B63" s="7">
        <v>60</v>
      </c>
      <c r="C63" s="16" t="s">
        <v>87</v>
      </c>
      <c r="D63" s="16" t="s">
        <v>84</v>
      </c>
      <c r="E63" s="16"/>
      <c r="F63" s="16"/>
      <c r="G63" s="16" t="str">
        <f t="shared" si="2"/>
        <v>-</v>
      </c>
      <c r="H63" s="26" t="s">
        <v>104</v>
      </c>
      <c r="I63" s="25" t="s">
        <v>104</v>
      </c>
      <c r="J63" s="26" t="s">
        <v>104</v>
      </c>
      <c r="K63" s="26" t="s">
        <v>104</v>
      </c>
      <c r="L63" s="25" t="s">
        <v>104</v>
      </c>
      <c r="M63" s="25" t="s">
        <v>104</v>
      </c>
      <c r="N63" s="26" t="s">
        <v>104</v>
      </c>
      <c r="O63" s="25" t="s">
        <v>104</v>
      </c>
      <c r="P63" s="26" t="s">
        <v>104</v>
      </c>
      <c r="Q63" s="25" t="s">
        <v>104</v>
      </c>
      <c r="R63" s="25" t="s">
        <v>104</v>
      </c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</row>
    <row r="64" spans="1:37" ht="15.6" x14ac:dyDescent="0.3">
      <c r="A64" s="51" t="s">
        <v>79</v>
      </c>
      <c r="B64" s="7">
        <v>61</v>
      </c>
      <c r="C64" s="17" t="s">
        <v>88</v>
      </c>
      <c r="D64" s="17" t="s">
        <v>89</v>
      </c>
      <c r="E64" s="17"/>
      <c r="F64" s="17"/>
      <c r="G64" s="17" t="str">
        <f t="shared" si="2"/>
        <v>-</v>
      </c>
      <c r="H64" s="26" t="s">
        <v>46</v>
      </c>
      <c r="I64" s="25" t="s">
        <v>46</v>
      </c>
      <c r="J64" s="26" t="s">
        <v>46</v>
      </c>
      <c r="K64" s="26" t="s">
        <v>46</v>
      </c>
      <c r="L64" s="25" t="s">
        <v>46</v>
      </c>
      <c r="M64" s="25" t="s">
        <v>46</v>
      </c>
      <c r="N64" s="26" t="s">
        <v>46</v>
      </c>
      <c r="O64" s="25" t="s">
        <v>46</v>
      </c>
      <c r="P64" s="26" t="s">
        <v>46</v>
      </c>
      <c r="Q64" s="25" t="s">
        <v>46</v>
      </c>
      <c r="R64" s="25" t="s">
        <v>46</v>
      </c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</row>
    <row r="65" spans="1:32" ht="15.6" x14ac:dyDescent="0.3">
      <c r="A65" s="52"/>
      <c r="B65" s="7">
        <v>62</v>
      </c>
      <c r="C65" s="17" t="s">
        <v>94</v>
      </c>
      <c r="D65" s="17" t="s">
        <v>95</v>
      </c>
      <c r="E65" s="17"/>
      <c r="F65" s="17"/>
      <c r="G65" s="17" t="str">
        <f t="shared" si="2"/>
        <v>-</v>
      </c>
      <c r="H65" s="26" t="s">
        <v>104</v>
      </c>
      <c r="I65" s="25" t="s">
        <v>104</v>
      </c>
      <c r="J65" s="26" t="s">
        <v>104</v>
      </c>
      <c r="K65" s="26" t="s">
        <v>104</v>
      </c>
      <c r="L65" s="25" t="s">
        <v>104</v>
      </c>
      <c r="M65" s="25" t="s">
        <v>104</v>
      </c>
      <c r="N65" s="26" t="s">
        <v>104</v>
      </c>
      <c r="O65" s="25" t="s">
        <v>104</v>
      </c>
      <c r="P65" s="26" t="s">
        <v>104</v>
      </c>
      <c r="Q65" s="25" t="s">
        <v>104</v>
      </c>
      <c r="R65" s="25" t="s">
        <v>104</v>
      </c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</row>
    <row r="66" spans="1:32" ht="15.6" x14ac:dyDescent="0.3">
      <c r="A66" s="52"/>
      <c r="B66" s="7">
        <v>63</v>
      </c>
      <c r="C66" s="17" t="s">
        <v>88</v>
      </c>
      <c r="D66" s="17" t="s">
        <v>94</v>
      </c>
      <c r="E66" s="17"/>
      <c r="F66" s="17"/>
      <c r="G66" s="17" t="str">
        <f t="shared" si="2"/>
        <v>-</v>
      </c>
      <c r="H66" s="26" t="s">
        <v>46</v>
      </c>
      <c r="I66" s="25" t="s">
        <v>46</v>
      </c>
      <c r="J66" s="26" t="s">
        <v>46</v>
      </c>
      <c r="K66" s="26" t="s">
        <v>46</v>
      </c>
      <c r="L66" s="25" t="s">
        <v>46</v>
      </c>
      <c r="M66" s="25" t="s">
        <v>46</v>
      </c>
      <c r="N66" s="26" t="s">
        <v>46</v>
      </c>
      <c r="O66" s="25" t="s">
        <v>46</v>
      </c>
      <c r="P66" s="26" t="s">
        <v>46</v>
      </c>
      <c r="Q66" s="25" t="s">
        <v>46</v>
      </c>
      <c r="R66" s="25" t="s">
        <v>46</v>
      </c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</row>
    <row r="67" spans="1:32" ht="15.6" x14ac:dyDescent="0.3">
      <c r="A67" s="52"/>
      <c r="B67" s="7">
        <v>64</v>
      </c>
      <c r="C67" s="17" t="s">
        <v>95</v>
      </c>
      <c r="D67" s="17" t="s">
        <v>89</v>
      </c>
      <c r="E67" s="17"/>
      <c r="F67" s="17"/>
      <c r="G67" s="17" t="str">
        <f t="shared" si="2"/>
        <v>-</v>
      </c>
      <c r="H67" s="26" t="s">
        <v>46</v>
      </c>
      <c r="I67" s="25" t="s">
        <v>46</v>
      </c>
      <c r="J67" s="26" t="s">
        <v>46</v>
      </c>
      <c r="K67" s="26" t="s">
        <v>46</v>
      </c>
      <c r="L67" s="25" t="s">
        <v>104</v>
      </c>
      <c r="M67" s="25" t="s">
        <v>46</v>
      </c>
      <c r="N67" s="26" t="s">
        <v>46</v>
      </c>
      <c r="O67" s="25" t="s">
        <v>46</v>
      </c>
      <c r="P67" s="26" t="s">
        <v>46</v>
      </c>
      <c r="Q67" s="25" t="s">
        <v>46</v>
      </c>
      <c r="R67" s="25" t="s">
        <v>46</v>
      </c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</row>
    <row r="68" spans="1:32" ht="15.6" x14ac:dyDescent="0.3">
      <c r="A68" s="52"/>
      <c r="B68" s="7">
        <v>65</v>
      </c>
      <c r="C68" s="17" t="s">
        <v>95</v>
      </c>
      <c r="D68" s="17" t="s">
        <v>88</v>
      </c>
      <c r="E68" s="17"/>
      <c r="F68" s="17"/>
      <c r="G68" s="17" t="str">
        <f t="shared" si="2"/>
        <v>-</v>
      </c>
      <c r="H68" s="26" t="s">
        <v>10</v>
      </c>
      <c r="I68" s="25" t="s">
        <v>10</v>
      </c>
      <c r="J68" s="26" t="s">
        <v>104</v>
      </c>
      <c r="K68" s="26" t="s">
        <v>10</v>
      </c>
      <c r="L68" s="25" t="s">
        <v>46</v>
      </c>
      <c r="M68" s="25" t="s">
        <v>104</v>
      </c>
      <c r="N68" s="26" t="s">
        <v>104</v>
      </c>
      <c r="O68" s="25" t="s">
        <v>104</v>
      </c>
      <c r="P68" s="26" t="s">
        <v>46</v>
      </c>
      <c r="Q68" s="25" t="s">
        <v>104</v>
      </c>
      <c r="R68" s="25" t="s">
        <v>10</v>
      </c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</row>
    <row r="69" spans="1:32" ht="15.6" x14ac:dyDescent="0.3">
      <c r="A69" s="53"/>
      <c r="B69" s="7">
        <v>66</v>
      </c>
      <c r="C69" s="17" t="s">
        <v>89</v>
      </c>
      <c r="D69" s="17" t="s">
        <v>94</v>
      </c>
      <c r="E69" s="17"/>
      <c r="F69" s="17"/>
      <c r="G69" s="17" t="str">
        <f t="shared" si="2"/>
        <v>-</v>
      </c>
      <c r="H69" s="26" t="s">
        <v>10</v>
      </c>
      <c r="I69" s="25" t="s">
        <v>104</v>
      </c>
      <c r="J69" s="26" t="s">
        <v>104</v>
      </c>
      <c r="K69" s="26" t="s">
        <v>104</v>
      </c>
      <c r="L69" s="25" t="s">
        <v>46</v>
      </c>
      <c r="M69" s="25" t="s">
        <v>10</v>
      </c>
      <c r="N69" s="26" t="s">
        <v>104</v>
      </c>
      <c r="O69" s="25" t="s">
        <v>10</v>
      </c>
      <c r="P69" s="26" t="s">
        <v>46</v>
      </c>
      <c r="Q69" s="25" t="s">
        <v>10</v>
      </c>
      <c r="R69" s="25" t="s">
        <v>10</v>
      </c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</row>
    <row r="70" spans="1:32" ht="15.6" x14ac:dyDescent="0.3">
      <c r="A70" s="54" t="s">
        <v>46</v>
      </c>
      <c r="B70" s="7">
        <v>67</v>
      </c>
      <c r="C70" s="18" t="s">
        <v>90</v>
      </c>
      <c r="D70" s="18" t="s">
        <v>91</v>
      </c>
      <c r="E70" s="18"/>
      <c r="F70" s="18"/>
      <c r="G70" s="18" t="str">
        <f t="shared" si="2"/>
        <v>-</v>
      </c>
      <c r="H70" s="26" t="s">
        <v>104</v>
      </c>
      <c r="I70" s="25" t="s">
        <v>46</v>
      </c>
      <c r="J70" s="26" t="s">
        <v>46</v>
      </c>
      <c r="K70" s="26" t="s">
        <v>46</v>
      </c>
      <c r="L70" s="25" t="s">
        <v>10</v>
      </c>
      <c r="M70" s="25" t="s">
        <v>10</v>
      </c>
      <c r="N70" s="26" t="s">
        <v>104</v>
      </c>
      <c r="O70" s="25" t="s">
        <v>46</v>
      </c>
      <c r="P70" s="26" t="s">
        <v>104</v>
      </c>
      <c r="Q70" s="25" t="s">
        <v>10</v>
      </c>
      <c r="R70" s="25" t="s">
        <v>46</v>
      </c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</row>
    <row r="71" spans="1:32" ht="15.6" x14ac:dyDescent="0.3">
      <c r="A71" s="55"/>
      <c r="B71" s="7">
        <v>68</v>
      </c>
      <c r="C71" s="18" t="s">
        <v>92</v>
      </c>
      <c r="D71" s="18" t="s">
        <v>93</v>
      </c>
      <c r="E71" s="18"/>
      <c r="F71" s="18"/>
      <c r="G71" s="18" t="str">
        <f t="shared" si="2"/>
        <v>-</v>
      </c>
      <c r="H71" s="26" t="s">
        <v>46</v>
      </c>
      <c r="I71" s="25" t="s">
        <v>46</v>
      </c>
      <c r="J71" s="26" t="s">
        <v>104</v>
      </c>
      <c r="K71" s="26" t="s">
        <v>104</v>
      </c>
      <c r="L71" s="25" t="s">
        <v>10</v>
      </c>
      <c r="M71" s="25" t="s">
        <v>10</v>
      </c>
      <c r="N71" s="26" t="s">
        <v>104</v>
      </c>
      <c r="O71" s="25" t="s">
        <v>10</v>
      </c>
      <c r="P71" s="26" t="s">
        <v>10</v>
      </c>
      <c r="Q71" s="25" t="s">
        <v>46</v>
      </c>
      <c r="R71" s="25" t="s">
        <v>104</v>
      </c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</row>
    <row r="72" spans="1:32" ht="15.6" x14ac:dyDescent="0.3">
      <c r="A72" s="55"/>
      <c r="B72" s="7">
        <v>69</v>
      </c>
      <c r="C72" s="18" t="s">
        <v>90</v>
      </c>
      <c r="D72" s="18" t="s">
        <v>92</v>
      </c>
      <c r="E72" s="18"/>
      <c r="F72" s="18"/>
      <c r="G72" s="18" t="str">
        <f t="shared" si="2"/>
        <v>-</v>
      </c>
      <c r="H72" s="26" t="s">
        <v>46</v>
      </c>
      <c r="I72" s="25" t="s">
        <v>10</v>
      </c>
      <c r="J72" s="26" t="s">
        <v>46</v>
      </c>
      <c r="K72" s="26" t="s">
        <v>46</v>
      </c>
      <c r="L72" s="25" t="s">
        <v>46</v>
      </c>
      <c r="M72" s="25" t="s">
        <v>46</v>
      </c>
      <c r="N72" s="26" t="s">
        <v>46</v>
      </c>
      <c r="O72" s="25" t="s">
        <v>46</v>
      </c>
      <c r="P72" s="26" t="s">
        <v>46</v>
      </c>
      <c r="Q72" s="25" t="s">
        <v>46</v>
      </c>
      <c r="R72" s="25" t="s">
        <v>46</v>
      </c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</row>
    <row r="73" spans="1:32" ht="15.6" x14ac:dyDescent="0.3">
      <c r="A73" s="55"/>
      <c r="B73" s="7">
        <v>70</v>
      </c>
      <c r="C73" s="18" t="s">
        <v>93</v>
      </c>
      <c r="D73" s="18" t="s">
        <v>91</v>
      </c>
      <c r="E73" s="18"/>
      <c r="F73" s="18"/>
      <c r="G73" s="18" t="str">
        <f t="shared" si="2"/>
        <v>-</v>
      </c>
      <c r="H73" s="26" t="s">
        <v>104</v>
      </c>
      <c r="I73" s="25" t="s">
        <v>104</v>
      </c>
      <c r="J73" s="26" t="s">
        <v>104</v>
      </c>
      <c r="K73" s="26" t="s">
        <v>46</v>
      </c>
      <c r="L73" s="25" t="s">
        <v>104</v>
      </c>
      <c r="M73" s="25" t="s">
        <v>104</v>
      </c>
      <c r="N73" s="26" t="s">
        <v>104</v>
      </c>
      <c r="O73" s="25" t="s">
        <v>104</v>
      </c>
      <c r="P73" s="26" t="s">
        <v>10</v>
      </c>
      <c r="Q73" s="25" t="s">
        <v>104</v>
      </c>
      <c r="R73" s="25" t="s">
        <v>10</v>
      </c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</row>
    <row r="74" spans="1:32" ht="15.6" x14ac:dyDescent="0.3">
      <c r="A74" s="55"/>
      <c r="B74" s="7">
        <v>71</v>
      </c>
      <c r="C74" s="18" t="s">
        <v>93</v>
      </c>
      <c r="D74" s="18" t="s">
        <v>90</v>
      </c>
      <c r="E74" s="18"/>
      <c r="F74" s="18"/>
      <c r="G74" s="18" t="str">
        <f t="shared" si="2"/>
        <v>-</v>
      </c>
      <c r="H74" s="26" t="s">
        <v>104</v>
      </c>
      <c r="I74" s="25" t="s">
        <v>10</v>
      </c>
      <c r="J74" s="26" t="s">
        <v>46</v>
      </c>
      <c r="K74" s="26" t="s">
        <v>104</v>
      </c>
      <c r="L74" s="25" t="s">
        <v>104</v>
      </c>
      <c r="M74" s="25" t="s">
        <v>104</v>
      </c>
      <c r="N74" s="26" t="s">
        <v>104</v>
      </c>
      <c r="O74" s="25" t="s">
        <v>104</v>
      </c>
      <c r="P74" s="26" t="s">
        <v>104</v>
      </c>
      <c r="Q74" s="25" t="s">
        <v>104</v>
      </c>
      <c r="R74" s="25" t="s">
        <v>104</v>
      </c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</row>
    <row r="75" spans="1:32" ht="15.6" x14ac:dyDescent="0.3">
      <c r="A75" s="56"/>
      <c r="B75" s="7">
        <v>72</v>
      </c>
      <c r="C75" s="18" t="s">
        <v>91</v>
      </c>
      <c r="D75" s="18" t="s">
        <v>92</v>
      </c>
      <c r="E75" s="18"/>
      <c r="F75" s="18"/>
      <c r="G75" s="18" t="str">
        <f t="shared" si="2"/>
        <v>-</v>
      </c>
      <c r="H75" s="26" t="s">
        <v>46</v>
      </c>
      <c r="I75" s="25" t="s">
        <v>104</v>
      </c>
      <c r="J75" s="26" t="s">
        <v>46</v>
      </c>
      <c r="K75" s="26" t="s">
        <v>10</v>
      </c>
      <c r="L75" s="25" t="s">
        <v>46</v>
      </c>
      <c r="M75" s="25" t="s">
        <v>46</v>
      </c>
      <c r="N75" s="26" t="s">
        <v>46</v>
      </c>
      <c r="O75" s="25" t="s">
        <v>46</v>
      </c>
      <c r="P75" s="26" t="s">
        <v>46</v>
      </c>
      <c r="Q75" s="25" t="s">
        <v>46</v>
      </c>
      <c r="R75" s="25" t="s">
        <v>10</v>
      </c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</row>
    <row r="76" spans="1:32" ht="15.6" x14ac:dyDescent="0.3">
      <c r="A76" s="27"/>
      <c r="B76" s="27"/>
      <c r="C76" s="27"/>
      <c r="D76" s="58" t="s">
        <v>14</v>
      </c>
      <c r="E76" s="33"/>
      <c r="F76" s="34"/>
      <c r="G76" s="2">
        <f>SUM(E4:F75)</f>
        <v>19</v>
      </c>
      <c r="H76" s="26">
        <v>179</v>
      </c>
      <c r="I76" s="25">
        <v>186</v>
      </c>
      <c r="J76" s="26">
        <v>185</v>
      </c>
      <c r="K76" s="26">
        <v>201</v>
      </c>
      <c r="L76" s="25">
        <v>222</v>
      </c>
      <c r="M76" s="25">
        <v>172</v>
      </c>
      <c r="N76" s="26">
        <v>162</v>
      </c>
      <c r="O76" s="25">
        <v>190</v>
      </c>
      <c r="P76" s="26">
        <v>180</v>
      </c>
      <c r="Q76" s="25">
        <v>197</v>
      </c>
      <c r="R76" s="25">
        <v>169</v>
      </c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</row>
    <row r="77" spans="1:32" ht="15.6" x14ac:dyDescent="0.3">
      <c r="A77" s="27"/>
      <c r="B77" s="27"/>
      <c r="C77" s="27"/>
      <c r="D77" s="59" t="s">
        <v>15</v>
      </c>
      <c r="E77" s="33"/>
      <c r="F77" s="33"/>
      <c r="G77" s="34"/>
      <c r="H77" s="28">
        <f>SUM(H78:H81)</f>
        <v>0</v>
      </c>
      <c r="I77" s="28">
        <f>SUM(I78:I81)</f>
        <v>0</v>
      </c>
      <c r="J77" s="28">
        <f>SUM(J78:J81)</f>
        <v>0</v>
      </c>
      <c r="K77" s="28">
        <f>SUM(K78:K81)</f>
        <v>0</v>
      </c>
      <c r="L77" s="28">
        <f>SUM(L78:L81)</f>
        <v>0</v>
      </c>
      <c r="M77" s="28">
        <f>SUM(M78:M81)</f>
        <v>0</v>
      </c>
      <c r="N77" s="28">
        <f>SUM(N78:N81)</f>
        <v>0</v>
      </c>
      <c r="O77" s="28">
        <f>SUM(O78:O81)</f>
        <v>0</v>
      </c>
      <c r="P77" s="28">
        <f>SUM(P78:P81)</f>
        <v>0</v>
      </c>
      <c r="Q77" s="28">
        <f>SUM(Q78:Q81)</f>
        <v>0</v>
      </c>
      <c r="R77" s="28">
        <f>SUM(R78:R81)</f>
        <v>0</v>
      </c>
      <c r="S77" s="28">
        <f t="shared" ref="H77:AF77" si="3">SUM(S78:S81)</f>
        <v>81</v>
      </c>
      <c r="T77" s="28">
        <f t="shared" si="3"/>
        <v>81</v>
      </c>
      <c r="U77" s="28">
        <f t="shared" si="3"/>
        <v>81</v>
      </c>
      <c r="V77" s="28">
        <f t="shared" si="3"/>
        <v>81</v>
      </c>
      <c r="W77" s="28">
        <f t="shared" si="3"/>
        <v>81</v>
      </c>
      <c r="X77" s="28">
        <f t="shared" si="3"/>
        <v>81</v>
      </c>
      <c r="Y77" s="28">
        <f t="shared" si="3"/>
        <v>81</v>
      </c>
      <c r="Z77" s="28">
        <f t="shared" si="3"/>
        <v>81</v>
      </c>
      <c r="AA77" s="28">
        <f t="shared" si="3"/>
        <v>81</v>
      </c>
      <c r="AB77" s="28">
        <f t="shared" si="3"/>
        <v>81</v>
      </c>
      <c r="AC77" s="28">
        <f t="shared" si="3"/>
        <v>81</v>
      </c>
      <c r="AD77" s="28">
        <f t="shared" si="3"/>
        <v>81</v>
      </c>
      <c r="AE77" s="28">
        <f t="shared" si="3"/>
        <v>81</v>
      </c>
      <c r="AF77" s="28">
        <f t="shared" si="3"/>
        <v>81</v>
      </c>
    </row>
    <row r="78" spans="1:32" ht="14.4" x14ac:dyDescent="0.3">
      <c r="A78" s="1"/>
      <c r="B78" s="1"/>
      <c r="C78" s="1"/>
      <c r="D78" s="1"/>
      <c r="E78" s="1"/>
      <c r="F78" s="1"/>
      <c r="G78" s="1"/>
      <c r="H78" s="3">
        <f t="shared" ref="H78:AF78" si="4">IF(H76=$G$76,100,IF($G$76-H76=1,99,IF($G$76-H76=-1,99,IF($G$76-H76=2,98,IF($G$76-H76=-2,98,IF($G$76-H76=3,97,IF($G$76-H76=-3,97,IF($G$76-H76=4,96,IF($G$76-H76=-4,96,IF($G$76-H76=5,95,IF($G$76-H76=-5,95,IF($G$76-H76=6,94,IF($G$76-H76=-6,94,IF($G$76-H76=7,93,IF($G$76-H76=-7,93,IF($G$76-H76=8,92,IF($G$76-H76=-8,92,IF($G$76-H76=9,91,IF($G$76-H76=-9,91,IF($G$76-H76=10,90,IF($G$76-H76=-10,90,IF($G$76-H76=11,89,IF($G$76-H76=-11,89,IF($G$76-H76=12,88,IF($G$76-H76=-12,88,IF($G$76-H76=13,87,IF($G$76-H76=-13,87,IF($G$76-H76=14,86,IF($G$76-H76=-14,86,IF($G$76-H76=15,85,IF($G$76-H76=-15,85,IF($G$76-H76=16,84,IF($G$76-H76=-16,84,IF($G$76-H76=17,83,IF($G$76-H76=-17,83,IF($G$76-H76=18,82,IF($G$76-H76=-18,82,IF($G$76-H76=19,81,IF($G$76-H76=-19,81,IF($G$76-H76=20,80,IF($G$76-H76=-20,80,IF($G$76-H76=21,79,IF($G$76-H76=-21,79,IF($G$76-H76=22,78,IF($G$76-H76=-22,78,IF($G$76-H76=23,77,IF($G$76-H76=-23,77,IF($G$76-H76=24,76,IF($G$76-H76=-24,76,IF($G$76-H76=25,75,IF($G$76-H76=-25,75,IF($G$76-H76=26,74,IF($G$76-H76=-26,74,IF($G$76-H76=27,73,IF($G$76-H76=-27,73,IF($G$76-H76=28,72,IF($G$76-H76=-28,72,IF($G$76-H76=29,71,IF($G$76-H76=-29,71,IF($G$76-H76=30,70,IF($G$76-H76=-30,70,IF($G$76-H76=31,69,IF($G$76-H76=-31,69,IF($G$76-H76=32,68,IF($G$76-H76=-32,68,0)))))))))))))))))))))))))))))))))))))))))))))))))))))))))))))))))</f>
        <v>0</v>
      </c>
      <c r="I78" s="3">
        <f t="shared" si="4"/>
        <v>0</v>
      </c>
      <c r="J78" s="3">
        <f t="shared" si="4"/>
        <v>0</v>
      </c>
      <c r="K78" s="3">
        <f t="shared" si="4"/>
        <v>0</v>
      </c>
      <c r="L78" s="3">
        <f t="shared" si="4"/>
        <v>0</v>
      </c>
      <c r="M78" s="3">
        <f t="shared" si="4"/>
        <v>0</v>
      </c>
      <c r="N78" s="3">
        <f t="shared" si="4"/>
        <v>0</v>
      </c>
      <c r="O78" s="3">
        <f t="shared" si="4"/>
        <v>0</v>
      </c>
      <c r="P78" s="3">
        <f t="shared" si="4"/>
        <v>0</v>
      </c>
      <c r="Q78" s="3">
        <f t="shared" si="4"/>
        <v>0</v>
      </c>
      <c r="R78" s="3">
        <f t="shared" si="4"/>
        <v>0</v>
      </c>
      <c r="S78" s="3">
        <f t="shared" si="4"/>
        <v>81</v>
      </c>
      <c r="T78" s="3">
        <f t="shared" si="4"/>
        <v>81</v>
      </c>
      <c r="U78" s="3">
        <f t="shared" si="4"/>
        <v>81</v>
      </c>
      <c r="V78" s="3">
        <f t="shared" si="4"/>
        <v>81</v>
      </c>
      <c r="W78" s="3">
        <f t="shared" si="4"/>
        <v>81</v>
      </c>
      <c r="X78" s="3">
        <f t="shared" si="4"/>
        <v>81</v>
      </c>
      <c r="Y78" s="3">
        <f t="shared" si="4"/>
        <v>81</v>
      </c>
      <c r="Z78" s="3">
        <f t="shared" si="4"/>
        <v>81</v>
      </c>
      <c r="AA78" s="3">
        <f t="shared" si="4"/>
        <v>81</v>
      </c>
      <c r="AB78" s="3">
        <f t="shared" si="4"/>
        <v>81</v>
      </c>
      <c r="AC78" s="3">
        <f t="shared" si="4"/>
        <v>81</v>
      </c>
      <c r="AD78" s="3">
        <f t="shared" si="4"/>
        <v>81</v>
      </c>
      <c r="AE78" s="3">
        <f t="shared" si="4"/>
        <v>81</v>
      </c>
      <c r="AF78" s="3">
        <f t="shared" si="4"/>
        <v>81</v>
      </c>
    </row>
    <row r="79" spans="1:32" ht="14.4" x14ac:dyDescent="0.3">
      <c r="A79" s="1"/>
      <c r="B79" s="1"/>
      <c r="C79" s="1"/>
      <c r="D79" s="1"/>
      <c r="E79" s="1"/>
      <c r="F79" s="1"/>
      <c r="G79" s="1"/>
      <c r="H79" s="3">
        <f t="shared" ref="H79:AF79" si="5">IF($G$76-H76=33,67,IF($G$76-H76=-33,67,IF($G$76-H76=34,66,IF($G$76-H76=-34,66,IF($G$76-H76=35,65,IF($G$76-H76=-35,65,IF($G$76-H76=36,64,IF($G$76-H76=-36,64,IF($G$76-H76=37,63,IF($G$76-H76=-37,63,IF($G$76-H76=38,62,IF($G$76-H76=-38,62,IF($G$76-H76=39,61,IF($G$76-H76=-39,61,IF($G$76-H76=40,60,IF($G$76-H76=-40,60,IF($G$76-H76=41,59,IF($G$76-H76=-41,59,IF($G$76-H76=42,58,IF($G$76-H76=-42,58,IF($G$76-H76=43,57,IF($G$76-H76=-43,57,IF($G$76-H76=44,56,IF($G$76-H76=-44,56,IF($G$76-H76=45,55,IF($G$76-H76=-45,55,IF($G$76-H76=46,54,IF($G$76-H76=-46,54,IF($G$76-H76=47,53,IF($G$76-H76=-47,53,IF($G$76-H76=48,52,IF($G$76-H76=-48,52,IF($G$76-H76=49,51,IF($G$76-H76=-49,51,IF($G$76-H76=50,50,IF($G$76-H76=-50,50,IF($G$76-H76=51,49,IF($G$76-H76=-51,49,IF($G$76-H76=52,48,IF($G$76-H76=-52,48,IF($G$76-H76=53,47,IF($G$76-H76=-53,47,IF($G$76-H76=54,46,IF($G$76-H76=-54,46,IF($G$76-H76=55,45,IF($G$76-H76=-55,45,IF($G$76-H76=56,44,IF($G$76-H76=-56,44,IF($G$76-H76=57,43,IF($G$76-H76=-57,43,IF($G$76-H76=58,42,IF($G$76-H76=-58,42,IF($G$76-H76=59,41,IF($G$76-H76=-59,41,IF($G$76-H76=60,40,IF($G$76-H76=-60,40,IF($G$76-H76=61,39,IF($G$76-H76=-61,39,IF($G$76-H76=62,38,IF($G$76-H76=-62,38,IF($G$76-H76=63,37,IF($G$76-H76=-63,37,IF($G$76-H76=64,36,IF($G$76-H76=-64,36,IF($G$76-H76=65,35,0)))))))))))))))))))))))))))))))))))))))))))))))))))))))))))))))))</f>
        <v>0</v>
      </c>
      <c r="I79" s="3">
        <f t="shared" si="5"/>
        <v>0</v>
      </c>
      <c r="J79" s="3">
        <f t="shared" si="5"/>
        <v>0</v>
      </c>
      <c r="K79" s="3">
        <f t="shared" si="5"/>
        <v>0</v>
      </c>
      <c r="L79" s="3">
        <f t="shared" si="5"/>
        <v>0</v>
      </c>
      <c r="M79" s="3">
        <f t="shared" si="5"/>
        <v>0</v>
      </c>
      <c r="N79" s="3">
        <f t="shared" si="5"/>
        <v>0</v>
      </c>
      <c r="O79" s="3">
        <f t="shared" si="5"/>
        <v>0</v>
      </c>
      <c r="P79" s="3">
        <f t="shared" si="5"/>
        <v>0</v>
      </c>
      <c r="Q79" s="3">
        <f t="shared" si="5"/>
        <v>0</v>
      </c>
      <c r="R79" s="3">
        <f t="shared" si="5"/>
        <v>0</v>
      </c>
      <c r="S79" s="3">
        <f t="shared" si="5"/>
        <v>0</v>
      </c>
      <c r="T79" s="3">
        <f t="shared" si="5"/>
        <v>0</v>
      </c>
      <c r="U79" s="3">
        <f t="shared" si="5"/>
        <v>0</v>
      </c>
      <c r="V79" s="3">
        <f t="shared" si="5"/>
        <v>0</v>
      </c>
      <c r="W79" s="3">
        <f t="shared" si="5"/>
        <v>0</v>
      </c>
      <c r="X79" s="3">
        <f t="shared" si="5"/>
        <v>0</v>
      </c>
      <c r="Y79" s="3">
        <f t="shared" si="5"/>
        <v>0</v>
      </c>
      <c r="Z79" s="3">
        <f t="shared" si="5"/>
        <v>0</v>
      </c>
      <c r="AA79" s="3">
        <f t="shared" si="5"/>
        <v>0</v>
      </c>
      <c r="AB79" s="3">
        <f t="shared" si="5"/>
        <v>0</v>
      </c>
      <c r="AC79" s="3">
        <f t="shared" si="5"/>
        <v>0</v>
      </c>
      <c r="AD79" s="3">
        <f t="shared" si="5"/>
        <v>0</v>
      </c>
      <c r="AE79" s="3">
        <f t="shared" si="5"/>
        <v>0</v>
      </c>
      <c r="AF79" s="3">
        <f t="shared" si="5"/>
        <v>0</v>
      </c>
    </row>
    <row r="80" spans="1:32" ht="14.4" x14ac:dyDescent="0.3">
      <c r="A80" s="1"/>
      <c r="B80" s="1"/>
      <c r="C80" s="1"/>
      <c r="D80" s="1"/>
      <c r="E80" s="1"/>
      <c r="F80" s="1"/>
      <c r="G80" s="1"/>
      <c r="H80" s="3">
        <f t="shared" ref="H80:AF80" si="6">IF($G$76-H76=-65,35,IF($G$76-H76=66,34,IF($G$76-H76=-66,34,IF($G$76-H76=67,33,IF($G$76-H76=-67,33,IF($G$76-H76=68,32,IF($G$76-H76=-68,32,IF($G$76-H76=69,31,IF($G$76-H76=-69,31,IF($G$76-H76=70,30,IF($G$76-H76=-70,30,IF($G$76-H76=71,29,IF($G$76-H76=-71,29,IF($G$76-H76=72,28,IF($G$76-H76=-72,28,IF($G$76-H76=73,27,IF($G$76-H76=-73,27,IF($G$76-H76=74,26,IF($G$76-H76=-74,26,IF($G$76-H76=75,25,IF($G$76-H76=-75,25,IF($G$76-H76=76,24,IF($G$76-H76=-76,24,IF($G$76-H76=77,23,IF($G$76-H76=-77,23,IF($G$76-H76=78,22,IF($G$76-H76=-78,22,IF($G$76-H76=79,21,IF($G$76-H76=-79,21,IF($G$76-H76=80,20,IF($G$76-H76=-80,20,IF($G$76-H76=81,19,IF($G$76-H76=-81,19,IF($G$76-H76=82,18,IF($G$76-H76=-82,18,IF($G$76-H76=83,17,IF($G$76-H76=-83,17,IF($G$76-H76=84,16,IF($G$76-H76=-84,16,IF($G$76-H76=85,15,IF($G$76-H76=-85,15,IF($G$76-H76=86,14,IF($G$76-H76=-86,14,IF($G$76-H76=87,13,IF($G$76-H76=-87,13,IF($G$76-H76=88,12,IF($G$76-H76=-88,12,IF($G$76-H76=89,11,IF($G$76-H76=-89,11,IF($G$76-H76=90,10,IF($G$76-H76=-90,10,IF($G$76-H76=91,9,IF($G$76-H76=-91,9,IF($G$76-H76=92,8,IF($G$76-H76=-92,8,IF($G$76-H76=93,7,IF($G$76-H76=-93,7,IF($G$76-H76=94,6,IF($G$76-H76=-94,6,IF($G$76-H76=95,5,IF($G$76-H76=-95,5,IF($G$76-H76=96,4,0))))))))))))))))))))))))))))))))))))))))))))))))))))))))))))))</f>
        <v>0</v>
      </c>
      <c r="I80" s="3">
        <f t="shared" si="6"/>
        <v>0</v>
      </c>
      <c r="J80" s="3">
        <f t="shared" si="6"/>
        <v>0</v>
      </c>
      <c r="K80" s="3">
        <f t="shared" si="6"/>
        <v>0</v>
      </c>
      <c r="L80" s="3">
        <f t="shared" si="6"/>
        <v>0</v>
      </c>
      <c r="M80" s="3">
        <f t="shared" si="6"/>
        <v>0</v>
      </c>
      <c r="N80" s="3">
        <f t="shared" si="6"/>
        <v>0</v>
      </c>
      <c r="O80" s="3">
        <f t="shared" si="6"/>
        <v>0</v>
      </c>
      <c r="P80" s="3">
        <f t="shared" si="6"/>
        <v>0</v>
      </c>
      <c r="Q80" s="3">
        <f t="shared" si="6"/>
        <v>0</v>
      </c>
      <c r="R80" s="3">
        <f t="shared" si="6"/>
        <v>0</v>
      </c>
      <c r="S80" s="3">
        <f t="shared" si="6"/>
        <v>0</v>
      </c>
      <c r="T80" s="3">
        <f t="shared" si="6"/>
        <v>0</v>
      </c>
      <c r="U80" s="3">
        <f t="shared" si="6"/>
        <v>0</v>
      </c>
      <c r="V80" s="3">
        <f t="shared" si="6"/>
        <v>0</v>
      </c>
      <c r="W80" s="3">
        <f t="shared" si="6"/>
        <v>0</v>
      </c>
      <c r="X80" s="3">
        <f t="shared" si="6"/>
        <v>0</v>
      </c>
      <c r="Y80" s="3">
        <f t="shared" si="6"/>
        <v>0</v>
      </c>
      <c r="Z80" s="3">
        <f t="shared" si="6"/>
        <v>0</v>
      </c>
      <c r="AA80" s="3">
        <f t="shared" si="6"/>
        <v>0</v>
      </c>
      <c r="AB80" s="3">
        <f t="shared" si="6"/>
        <v>0</v>
      </c>
      <c r="AC80" s="3">
        <f t="shared" si="6"/>
        <v>0</v>
      </c>
      <c r="AD80" s="3">
        <f t="shared" si="6"/>
        <v>0</v>
      </c>
      <c r="AE80" s="3">
        <f t="shared" si="6"/>
        <v>0</v>
      </c>
      <c r="AF80" s="3">
        <f t="shared" si="6"/>
        <v>0</v>
      </c>
    </row>
    <row r="81" spans="1:32" ht="14.4" x14ac:dyDescent="0.3">
      <c r="A81" s="1"/>
      <c r="B81" s="1"/>
      <c r="C81" s="1"/>
      <c r="D81" s="1"/>
      <c r="E81" s="1"/>
      <c r="F81" s="1"/>
      <c r="G81" s="1"/>
      <c r="H81" s="3">
        <f t="shared" ref="H81:AF81" si="7">IF($G$76-H76=-96,4,IF($G$76-H76=97,3,IF($G$76-H76=-97,3,IF($G$76-H76=98,2,IF($G$76-H76=-98,2,IF($G$76-H76=99,1,IF($G$76-H76=-99,1,IF($G$76-H76=100,0,IF($G$76-H76=-100,0,0)))))))))</f>
        <v>0</v>
      </c>
      <c r="I81" s="3">
        <f t="shared" si="7"/>
        <v>0</v>
      </c>
      <c r="J81" s="3">
        <f t="shared" si="7"/>
        <v>0</v>
      </c>
      <c r="K81" s="3">
        <f t="shared" si="7"/>
        <v>0</v>
      </c>
      <c r="L81" s="3">
        <f t="shared" si="7"/>
        <v>0</v>
      </c>
      <c r="M81" s="3">
        <f t="shared" si="7"/>
        <v>0</v>
      </c>
      <c r="N81" s="3">
        <f t="shared" si="7"/>
        <v>0</v>
      </c>
      <c r="O81" s="3">
        <f t="shared" si="7"/>
        <v>0</v>
      </c>
      <c r="P81" s="3">
        <f t="shared" si="7"/>
        <v>0</v>
      </c>
      <c r="Q81" s="3">
        <f t="shared" si="7"/>
        <v>0</v>
      </c>
      <c r="R81" s="3">
        <f t="shared" si="7"/>
        <v>0</v>
      </c>
      <c r="S81" s="3">
        <f t="shared" si="7"/>
        <v>0</v>
      </c>
      <c r="T81" s="3">
        <f t="shared" si="7"/>
        <v>0</v>
      </c>
      <c r="U81" s="3">
        <f t="shared" si="7"/>
        <v>0</v>
      </c>
      <c r="V81" s="3">
        <f t="shared" si="7"/>
        <v>0</v>
      </c>
      <c r="W81" s="3">
        <f t="shared" si="7"/>
        <v>0</v>
      </c>
      <c r="X81" s="3">
        <f t="shared" si="7"/>
        <v>0</v>
      </c>
      <c r="Y81" s="3">
        <f t="shared" si="7"/>
        <v>0</v>
      </c>
      <c r="Z81" s="3">
        <f t="shared" si="7"/>
        <v>0</v>
      </c>
      <c r="AA81" s="3">
        <f t="shared" si="7"/>
        <v>0</v>
      </c>
      <c r="AB81" s="3">
        <f t="shared" si="7"/>
        <v>0</v>
      </c>
      <c r="AC81" s="3">
        <f t="shared" si="7"/>
        <v>0</v>
      </c>
      <c r="AD81" s="3">
        <f t="shared" si="7"/>
        <v>0</v>
      </c>
      <c r="AE81" s="3">
        <f t="shared" si="7"/>
        <v>0</v>
      </c>
      <c r="AF81" s="3">
        <f t="shared" si="7"/>
        <v>0</v>
      </c>
    </row>
    <row r="82" spans="1:32" ht="14.4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4.4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4.4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4.4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4.4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4.4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4.4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4.4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4.4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4.4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4.4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4.4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4.4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4.4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4.4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4.4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4.4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4.4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4.4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5" customHeight="1" x14ac:dyDescent="0.3">
      <c r="A101" s="1"/>
      <c r="B101" s="1"/>
      <c r="C101" s="1"/>
      <c r="D101" s="1"/>
      <c r="E101" s="1"/>
      <c r="F101" s="1"/>
      <c r="G101" s="1"/>
    </row>
    <row r="102" spans="1:32" ht="15" customHeight="1" x14ac:dyDescent="0.3">
      <c r="A102" s="1"/>
      <c r="B102" s="1"/>
      <c r="C102" s="1"/>
      <c r="D102" s="1"/>
      <c r="E102" s="1"/>
      <c r="F102" s="1"/>
      <c r="G102" s="1"/>
    </row>
    <row r="103" spans="1:32" ht="15" customHeight="1" x14ac:dyDescent="0.3">
      <c r="A103" s="1"/>
      <c r="B103" s="1"/>
      <c r="C103" s="1"/>
      <c r="D103" s="1"/>
      <c r="E103" s="1"/>
      <c r="F103" s="1"/>
      <c r="G103" s="1"/>
    </row>
    <row r="104" spans="1:32" ht="15" customHeight="1" x14ac:dyDescent="0.3">
      <c r="A104" s="1"/>
      <c r="B104" s="1"/>
      <c r="C104" s="1"/>
      <c r="D104" s="1"/>
      <c r="E104" s="1"/>
      <c r="F104" s="1"/>
      <c r="G104" s="1"/>
    </row>
    <row r="105" spans="1:32" ht="15" customHeight="1" x14ac:dyDescent="0.3">
      <c r="A105" s="1"/>
      <c r="B105" s="1"/>
      <c r="C105" s="1"/>
      <c r="D105" s="1"/>
      <c r="E105" s="1"/>
      <c r="F105" s="1"/>
      <c r="G105" s="1"/>
    </row>
    <row r="106" spans="1:32" ht="15" customHeight="1" x14ac:dyDescent="0.3">
      <c r="A106" s="1"/>
      <c r="B106" s="1"/>
      <c r="C106" s="1"/>
      <c r="D106" s="1"/>
      <c r="E106" s="1"/>
      <c r="F106" s="1"/>
      <c r="G106" s="1"/>
    </row>
    <row r="107" spans="1:32" ht="15" customHeight="1" x14ac:dyDescent="0.3">
      <c r="A107" s="1"/>
      <c r="B107" s="1"/>
      <c r="C107" s="1"/>
      <c r="D107" s="1"/>
      <c r="E107" s="1"/>
      <c r="F107" s="1"/>
      <c r="G107" s="1"/>
    </row>
    <row r="108" spans="1:32" ht="15" customHeight="1" x14ac:dyDescent="0.3">
      <c r="A108" s="1"/>
      <c r="B108" s="1"/>
      <c r="C108" s="1"/>
      <c r="D108" s="1"/>
      <c r="E108" s="1"/>
      <c r="F108" s="1"/>
      <c r="G108" s="1"/>
    </row>
    <row r="109" spans="1:32" ht="15" customHeight="1" x14ac:dyDescent="0.3">
      <c r="A109" s="1"/>
      <c r="B109" s="1"/>
      <c r="C109" s="1"/>
      <c r="D109" s="1"/>
      <c r="E109" s="1"/>
      <c r="F109" s="1"/>
      <c r="G109" s="1"/>
    </row>
    <row r="110" spans="1:32" ht="15" customHeight="1" x14ac:dyDescent="0.3">
      <c r="A110" s="1"/>
      <c r="B110" s="1"/>
      <c r="C110" s="1"/>
      <c r="D110" s="1"/>
      <c r="E110" s="1"/>
      <c r="F110" s="1"/>
      <c r="G110" s="1"/>
    </row>
    <row r="111" spans="1:32" ht="15" customHeight="1" x14ac:dyDescent="0.3">
      <c r="A111" s="1"/>
      <c r="B111" s="1"/>
      <c r="C111" s="1"/>
      <c r="D111" s="1"/>
      <c r="E111" s="1"/>
      <c r="F111" s="1"/>
      <c r="G111" s="1"/>
    </row>
    <row r="112" spans="1:32" ht="15" customHeight="1" x14ac:dyDescent="0.3">
      <c r="A112" s="1"/>
      <c r="B112" s="1"/>
      <c r="C112" s="1"/>
      <c r="D112" s="1"/>
      <c r="E112" s="1"/>
      <c r="F112" s="1"/>
      <c r="G112" s="1"/>
    </row>
    <row r="113" spans="1:7" ht="15" customHeight="1" x14ac:dyDescent="0.3">
      <c r="A113" s="1"/>
      <c r="B113" s="1"/>
      <c r="C113" s="1"/>
      <c r="D113" s="1"/>
      <c r="E113" s="1"/>
      <c r="F113" s="1"/>
      <c r="G113" s="1"/>
    </row>
    <row r="114" spans="1:7" ht="15" customHeight="1" x14ac:dyDescent="0.3">
      <c r="A114" s="1"/>
      <c r="B114" s="1"/>
      <c r="C114" s="1"/>
      <c r="D114" s="1"/>
      <c r="E114" s="1"/>
      <c r="F114" s="1"/>
      <c r="G114" s="1"/>
    </row>
    <row r="115" spans="1:7" ht="15" customHeight="1" x14ac:dyDescent="0.3">
      <c r="A115" s="1"/>
      <c r="B115" s="1"/>
      <c r="C115" s="1"/>
      <c r="D115" s="1"/>
      <c r="E115" s="1"/>
      <c r="F115" s="1"/>
      <c r="G115" s="1"/>
    </row>
    <row r="116" spans="1:7" ht="15" customHeight="1" x14ac:dyDescent="0.3">
      <c r="A116" s="1"/>
      <c r="B116" s="1"/>
      <c r="C116" s="1"/>
      <c r="D116" s="1"/>
      <c r="E116" s="1"/>
      <c r="F116" s="1"/>
      <c r="G116" s="1"/>
    </row>
    <row r="117" spans="1:7" ht="15" customHeight="1" x14ac:dyDescent="0.3">
      <c r="A117" s="1"/>
      <c r="B117" s="1"/>
      <c r="C117" s="1"/>
      <c r="D117" s="1"/>
      <c r="E117" s="1"/>
      <c r="F117" s="1"/>
      <c r="G117" s="1"/>
    </row>
    <row r="118" spans="1:7" ht="15" customHeight="1" x14ac:dyDescent="0.3">
      <c r="A118" s="1"/>
      <c r="B118" s="1"/>
      <c r="C118" s="1"/>
      <c r="D118" s="1"/>
      <c r="E118" s="1"/>
      <c r="F118" s="1"/>
      <c r="G118" s="1"/>
    </row>
    <row r="119" spans="1:7" ht="15" customHeight="1" x14ac:dyDescent="0.3">
      <c r="A119" s="1"/>
      <c r="B119" s="1"/>
      <c r="C119" s="1"/>
      <c r="D119" s="1"/>
      <c r="E119" s="1"/>
      <c r="F119" s="1"/>
      <c r="G119" s="1"/>
    </row>
    <row r="120" spans="1:7" ht="15" customHeight="1" x14ac:dyDescent="0.3">
      <c r="A120" s="1"/>
      <c r="B120" s="1"/>
      <c r="C120" s="1"/>
      <c r="D120" s="1"/>
      <c r="E120" s="1"/>
      <c r="F120" s="1"/>
      <c r="G120" s="1"/>
    </row>
    <row r="121" spans="1:7" ht="15" customHeight="1" x14ac:dyDescent="0.3">
      <c r="A121" s="1"/>
      <c r="B121" s="1"/>
      <c r="C121" s="1"/>
      <c r="D121" s="1"/>
      <c r="E121" s="1"/>
      <c r="F121" s="1"/>
      <c r="G121" s="1"/>
    </row>
    <row r="122" spans="1:7" ht="15" customHeight="1" x14ac:dyDescent="0.3">
      <c r="A122" s="1"/>
      <c r="B122" s="1"/>
      <c r="C122" s="1"/>
      <c r="D122" s="1"/>
      <c r="E122" s="1"/>
      <c r="F122" s="1"/>
      <c r="G122" s="1"/>
    </row>
    <row r="123" spans="1:7" ht="15" customHeight="1" x14ac:dyDescent="0.3">
      <c r="A123" s="1"/>
      <c r="B123" s="1"/>
      <c r="C123" s="1"/>
      <c r="D123" s="1"/>
      <c r="E123" s="1"/>
      <c r="F123" s="1"/>
      <c r="G123" s="1"/>
    </row>
    <row r="124" spans="1:7" ht="15" customHeight="1" x14ac:dyDescent="0.3">
      <c r="A124" s="1"/>
      <c r="B124" s="1"/>
      <c r="C124" s="1"/>
      <c r="D124" s="1"/>
      <c r="E124" s="1"/>
      <c r="F124" s="1"/>
      <c r="G124" s="1"/>
    </row>
  </sheetData>
  <sortState xmlns:xlrd2="http://schemas.microsoft.com/office/spreadsheetml/2017/richdata2" columnSort="1" ref="H2:R77">
    <sortCondition descending="1" ref="H3:R3"/>
    <sortCondition descending="1" ref="H77:R77"/>
  </sortState>
  <mergeCells count="18">
    <mergeCell ref="A64:A69"/>
    <mergeCell ref="A70:A75"/>
    <mergeCell ref="A46:A51"/>
    <mergeCell ref="D76:F76"/>
    <mergeCell ref="D77:G77"/>
    <mergeCell ref="A52:A57"/>
    <mergeCell ref="A58:A63"/>
    <mergeCell ref="A1:G1"/>
    <mergeCell ref="E3:F3"/>
    <mergeCell ref="A4:A9"/>
    <mergeCell ref="A40:A45"/>
    <mergeCell ref="A34:A39"/>
    <mergeCell ref="A22:A27"/>
    <mergeCell ref="A28:A33"/>
    <mergeCell ref="A10:A15"/>
    <mergeCell ref="A16:A21"/>
    <mergeCell ref="A2:C2"/>
    <mergeCell ref="D2:G2"/>
  </mergeCells>
  <conditionalFormatting sqref="H3:AF3">
    <cfRule type="cellIs" dxfId="0" priority="1" operator="equal">
      <formula>MAX($H$3:$AF$3)</formula>
    </cfRule>
  </conditionalFormatting>
  <pageMargins left="0.70866141732283472" right="0.70866141732283472" top="0.74803149606299213" bottom="0.74803149606299213" header="0" footer="0"/>
  <pageSetup scale="9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"/>
  <sheetViews>
    <sheetView workbookViewId="0"/>
  </sheetViews>
  <sheetFormatPr baseColWidth="10" defaultColWidth="14.44140625" defaultRowHeight="15" customHeight="1" x14ac:dyDescent="0.3"/>
  <cols>
    <col min="1" max="6" width="11.44140625" customWidth="1"/>
    <col min="7" max="7" width="16.88671875" customWidth="1"/>
    <col min="8" max="15" width="11.44140625" customWidth="1"/>
  </cols>
  <sheetData>
    <row r="1" spans="1:15" ht="15" customHeight="1" x14ac:dyDescent="0.3">
      <c r="A1" s="4"/>
      <c r="B1" s="4" t="s">
        <v>16</v>
      </c>
      <c r="C1" s="4">
        <v>2</v>
      </c>
      <c r="D1" s="4" t="s">
        <v>17</v>
      </c>
      <c r="E1" s="4">
        <v>98</v>
      </c>
      <c r="F1" s="4" t="s">
        <v>17</v>
      </c>
      <c r="G1" s="4" t="str">
        <f t="shared" ref="G1:G99" si="0">CONCATENATE(B1,C1,D1,E1,F1)</f>
        <v>SI(G28-H28=2;98;</v>
      </c>
      <c r="H1" s="4" t="s">
        <v>18</v>
      </c>
      <c r="I1" s="4" t="s">
        <v>16</v>
      </c>
      <c r="J1" s="4" t="s">
        <v>19</v>
      </c>
      <c r="K1" s="4">
        <v>2</v>
      </c>
      <c r="L1" s="4" t="s">
        <v>17</v>
      </c>
      <c r="M1" s="4">
        <v>98</v>
      </c>
      <c r="N1" s="4" t="s">
        <v>17</v>
      </c>
      <c r="O1" s="4" t="str">
        <f t="shared" ref="O1:O99" si="1">CONCATENATE(I1,J1,K1,L1,M1,N1)</f>
        <v>SI(G28-H28=-2;98;</v>
      </c>
    </row>
    <row r="2" spans="1:15" ht="15" customHeight="1" x14ac:dyDescent="0.3">
      <c r="A2" s="4"/>
      <c r="B2" s="4" t="s">
        <v>16</v>
      </c>
      <c r="C2" s="4">
        <v>3</v>
      </c>
      <c r="D2" s="4" t="s">
        <v>17</v>
      </c>
      <c r="E2" s="4">
        <v>97</v>
      </c>
      <c r="F2" s="4" t="s">
        <v>17</v>
      </c>
      <c r="G2" s="4" t="str">
        <f t="shared" si="0"/>
        <v>SI(G28-H28=3;97;</v>
      </c>
      <c r="H2" s="4"/>
      <c r="I2" s="4" t="s">
        <v>16</v>
      </c>
      <c r="J2" s="4" t="s">
        <v>19</v>
      </c>
      <c r="K2" s="4">
        <v>3</v>
      </c>
      <c r="L2" s="4" t="s">
        <v>17</v>
      </c>
      <c r="M2" s="4">
        <v>97</v>
      </c>
      <c r="N2" s="4" t="s">
        <v>17</v>
      </c>
      <c r="O2" s="4" t="str">
        <f t="shared" si="1"/>
        <v>SI(G28-H28=-3;97;</v>
      </c>
    </row>
    <row r="3" spans="1:15" ht="15" customHeight="1" x14ac:dyDescent="0.3">
      <c r="A3" s="4"/>
      <c r="B3" s="4" t="s">
        <v>16</v>
      </c>
      <c r="C3" s="4">
        <v>4</v>
      </c>
      <c r="D3" s="4" t="s">
        <v>17</v>
      </c>
      <c r="E3" s="4">
        <v>96</v>
      </c>
      <c r="F3" s="4" t="s">
        <v>17</v>
      </c>
      <c r="G3" s="4" t="str">
        <f t="shared" si="0"/>
        <v>SI(G28-H28=4;96;</v>
      </c>
      <c r="H3" s="4"/>
      <c r="I3" s="4" t="s">
        <v>16</v>
      </c>
      <c r="J3" s="4" t="s">
        <v>19</v>
      </c>
      <c r="K3" s="4">
        <v>4</v>
      </c>
      <c r="L3" s="4" t="s">
        <v>17</v>
      </c>
      <c r="M3" s="4">
        <v>96</v>
      </c>
      <c r="N3" s="4" t="s">
        <v>17</v>
      </c>
      <c r="O3" s="4" t="str">
        <f t="shared" si="1"/>
        <v>SI(G28-H28=-4;96;</v>
      </c>
    </row>
    <row r="4" spans="1:15" ht="15" customHeight="1" x14ac:dyDescent="0.3">
      <c r="A4" s="4"/>
      <c r="B4" s="4" t="s">
        <v>16</v>
      </c>
      <c r="C4" s="4">
        <v>5</v>
      </c>
      <c r="D4" s="4" t="s">
        <v>17</v>
      </c>
      <c r="E4" s="4">
        <v>95</v>
      </c>
      <c r="F4" s="4" t="s">
        <v>17</v>
      </c>
      <c r="G4" s="4" t="str">
        <f t="shared" si="0"/>
        <v>SI(G28-H28=5;95;</v>
      </c>
      <c r="H4" s="4"/>
      <c r="I4" s="4" t="s">
        <v>16</v>
      </c>
      <c r="J4" s="4" t="s">
        <v>19</v>
      </c>
      <c r="K4" s="4">
        <v>5</v>
      </c>
      <c r="L4" s="4" t="s">
        <v>17</v>
      </c>
      <c r="M4" s="4">
        <v>95</v>
      </c>
      <c r="N4" s="4" t="s">
        <v>17</v>
      </c>
      <c r="O4" s="4" t="str">
        <f t="shared" si="1"/>
        <v>SI(G28-H28=-5;95;</v>
      </c>
    </row>
    <row r="5" spans="1:15" ht="15" customHeight="1" x14ac:dyDescent="0.3">
      <c r="A5" s="4"/>
      <c r="B5" s="4" t="s">
        <v>16</v>
      </c>
      <c r="C5" s="4">
        <v>6</v>
      </c>
      <c r="D5" s="4" t="s">
        <v>17</v>
      </c>
      <c r="E5" s="4">
        <v>94</v>
      </c>
      <c r="F5" s="4" t="s">
        <v>17</v>
      </c>
      <c r="G5" s="4" t="str">
        <f t="shared" si="0"/>
        <v>SI(G28-H28=6;94;</v>
      </c>
      <c r="H5" s="4"/>
      <c r="I5" s="4" t="s">
        <v>16</v>
      </c>
      <c r="J5" s="4" t="s">
        <v>19</v>
      </c>
      <c r="K5" s="4">
        <v>6</v>
      </c>
      <c r="L5" s="4" t="s">
        <v>17</v>
      </c>
      <c r="M5" s="4">
        <v>94</v>
      </c>
      <c r="N5" s="4" t="s">
        <v>17</v>
      </c>
      <c r="O5" s="4" t="str">
        <f t="shared" si="1"/>
        <v>SI(G28-H28=-6;94;</v>
      </c>
    </row>
    <row r="6" spans="1:15" ht="15" customHeight="1" x14ac:dyDescent="0.3">
      <c r="A6" s="4"/>
      <c r="B6" s="4" t="s">
        <v>16</v>
      </c>
      <c r="C6" s="4">
        <v>7</v>
      </c>
      <c r="D6" s="4" t="s">
        <v>17</v>
      </c>
      <c r="E6" s="4">
        <v>93</v>
      </c>
      <c r="F6" s="4" t="s">
        <v>17</v>
      </c>
      <c r="G6" s="4" t="str">
        <f t="shared" si="0"/>
        <v>SI(G28-H28=7;93;</v>
      </c>
      <c r="H6" s="4"/>
      <c r="I6" s="4" t="s">
        <v>16</v>
      </c>
      <c r="J6" s="4" t="s">
        <v>19</v>
      </c>
      <c r="K6" s="4">
        <v>7</v>
      </c>
      <c r="L6" s="4" t="s">
        <v>17</v>
      </c>
      <c r="M6" s="4">
        <v>93</v>
      </c>
      <c r="N6" s="4" t="s">
        <v>17</v>
      </c>
      <c r="O6" s="4" t="str">
        <f t="shared" si="1"/>
        <v>SI(G28-H28=-7;93;</v>
      </c>
    </row>
    <row r="7" spans="1:15" ht="15" customHeight="1" x14ac:dyDescent="0.3">
      <c r="A7" s="4"/>
      <c r="B7" s="4" t="s">
        <v>16</v>
      </c>
      <c r="C7" s="4">
        <v>8</v>
      </c>
      <c r="D7" s="4" t="s">
        <v>17</v>
      </c>
      <c r="E7" s="4">
        <v>92</v>
      </c>
      <c r="F7" s="4" t="s">
        <v>17</v>
      </c>
      <c r="G7" s="4" t="str">
        <f t="shared" si="0"/>
        <v>SI(G28-H28=8;92;</v>
      </c>
      <c r="H7" s="4"/>
      <c r="I7" s="4" t="s">
        <v>16</v>
      </c>
      <c r="J7" s="4" t="s">
        <v>19</v>
      </c>
      <c r="K7" s="4">
        <v>8</v>
      </c>
      <c r="L7" s="4" t="s">
        <v>17</v>
      </c>
      <c r="M7" s="4">
        <v>92</v>
      </c>
      <c r="N7" s="4" t="s">
        <v>17</v>
      </c>
      <c r="O7" s="4" t="str">
        <f t="shared" si="1"/>
        <v>SI(G28-H28=-8;92;</v>
      </c>
    </row>
    <row r="8" spans="1:15" ht="15" customHeight="1" x14ac:dyDescent="0.3">
      <c r="A8" s="4"/>
      <c r="B8" s="4" t="s">
        <v>16</v>
      </c>
      <c r="C8" s="4">
        <v>9</v>
      </c>
      <c r="D8" s="4" t="s">
        <v>17</v>
      </c>
      <c r="E8" s="4">
        <v>91</v>
      </c>
      <c r="F8" s="4" t="s">
        <v>17</v>
      </c>
      <c r="G8" s="4" t="str">
        <f t="shared" si="0"/>
        <v>SI(G28-H28=9;91;</v>
      </c>
      <c r="H8" s="4"/>
      <c r="I8" s="4" t="s">
        <v>16</v>
      </c>
      <c r="J8" s="4" t="s">
        <v>19</v>
      </c>
      <c r="K8" s="4">
        <v>9</v>
      </c>
      <c r="L8" s="4" t="s">
        <v>17</v>
      </c>
      <c r="M8" s="4">
        <v>91</v>
      </c>
      <c r="N8" s="4" t="s">
        <v>17</v>
      </c>
      <c r="O8" s="4" t="str">
        <f t="shared" si="1"/>
        <v>SI(G28-H28=-9;91;</v>
      </c>
    </row>
    <row r="9" spans="1:15" ht="15" customHeight="1" x14ac:dyDescent="0.3">
      <c r="A9" s="4"/>
      <c r="B9" s="4" t="s">
        <v>16</v>
      </c>
      <c r="C9" s="4">
        <v>10</v>
      </c>
      <c r="D9" s="4" t="s">
        <v>17</v>
      </c>
      <c r="E9" s="4">
        <v>90</v>
      </c>
      <c r="F9" s="4" t="s">
        <v>17</v>
      </c>
      <c r="G9" s="4" t="str">
        <f t="shared" si="0"/>
        <v>SI(G28-H28=10;90;</v>
      </c>
      <c r="H9" s="4"/>
      <c r="I9" s="4" t="s">
        <v>16</v>
      </c>
      <c r="J9" s="4" t="s">
        <v>19</v>
      </c>
      <c r="K9" s="4">
        <v>10</v>
      </c>
      <c r="L9" s="4" t="s">
        <v>17</v>
      </c>
      <c r="M9" s="4">
        <v>90</v>
      </c>
      <c r="N9" s="4" t="s">
        <v>17</v>
      </c>
      <c r="O9" s="4" t="str">
        <f t="shared" si="1"/>
        <v>SI(G28-H28=-10;90;</v>
      </c>
    </row>
    <row r="10" spans="1:15" ht="15" customHeight="1" x14ac:dyDescent="0.3">
      <c r="A10" s="4"/>
      <c r="B10" s="4" t="s">
        <v>16</v>
      </c>
      <c r="C10" s="4">
        <v>11</v>
      </c>
      <c r="D10" s="4" t="s">
        <v>17</v>
      </c>
      <c r="E10" s="4">
        <v>89</v>
      </c>
      <c r="F10" s="4" t="s">
        <v>17</v>
      </c>
      <c r="G10" s="4" t="str">
        <f t="shared" si="0"/>
        <v>SI(G28-H28=11;89;</v>
      </c>
      <c r="H10" s="4"/>
      <c r="I10" s="4" t="s">
        <v>16</v>
      </c>
      <c r="J10" s="4" t="s">
        <v>19</v>
      </c>
      <c r="K10" s="4">
        <v>11</v>
      </c>
      <c r="L10" s="4" t="s">
        <v>17</v>
      </c>
      <c r="M10" s="4">
        <v>89</v>
      </c>
      <c r="N10" s="4" t="s">
        <v>17</v>
      </c>
      <c r="O10" s="4" t="str">
        <f t="shared" si="1"/>
        <v>SI(G28-H28=-11;89;</v>
      </c>
    </row>
    <row r="11" spans="1:15" ht="15" customHeight="1" x14ac:dyDescent="0.3">
      <c r="A11" s="4"/>
      <c r="B11" s="4" t="s">
        <v>16</v>
      </c>
      <c r="C11" s="4">
        <v>12</v>
      </c>
      <c r="D11" s="4" t="s">
        <v>17</v>
      </c>
      <c r="E11" s="4">
        <v>88</v>
      </c>
      <c r="F11" s="4" t="s">
        <v>17</v>
      </c>
      <c r="G11" s="4" t="str">
        <f t="shared" si="0"/>
        <v>SI(G28-H28=12;88;</v>
      </c>
      <c r="H11" s="4"/>
      <c r="I11" s="4" t="s">
        <v>16</v>
      </c>
      <c r="J11" s="4" t="s">
        <v>19</v>
      </c>
      <c r="K11" s="4">
        <v>12</v>
      </c>
      <c r="L11" s="4" t="s">
        <v>17</v>
      </c>
      <c r="M11" s="4">
        <v>88</v>
      </c>
      <c r="N11" s="4" t="s">
        <v>17</v>
      </c>
      <c r="O11" s="4" t="str">
        <f t="shared" si="1"/>
        <v>SI(G28-H28=-12;88;</v>
      </c>
    </row>
    <row r="12" spans="1:15" ht="15" customHeight="1" x14ac:dyDescent="0.3">
      <c r="A12" s="4"/>
      <c r="B12" s="4" t="s">
        <v>16</v>
      </c>
      <c r="C12" s="4">
        <v>13</v>
      </c>
      <c r="D12" s="4" t="s">
        <v>17</v>
      </c>
      <c r="E12" s="4">
        <v>87</v>
      </c>
      <c r="F12" s="4" t="s">
        <v>17</v>
      </c>
      <c r="G12" s="4" t="str">
        <f t="shared" si="0"/>
        <v>SI(G28-H28=13;87;</v>
      </c>
      <c r="H12" s="4"/>
      <c r="I12" s="4" t="s">
        <v>16</v>
      </c>
      <c r="J12" s="4" t="s">
        <v>19</v>
      </c>
      <c r="K12" s="4">
        <v>13</v>
      </c>
      <c r="L12" s="4" t="s">
        <v>17</v>
      </c>
      <c r="M12" s="4">
        <v>87</v>
      </c>
      <c r="N12" s="4" t="s">
        <v>17</v>
      </c>
      <c r="O12" s="4" t="str">
        <f t="shared" si="1"/>
        <v>SI(G28-H28=-13;87;</v>
      </c>
    </row>
    <row r="13" spans="1:15" ht="15" customHeight="1" x14ac:dyDescent="0.3">
      <c r="A13" s="4"/>
      <c r="B13" s="4" t="s">
        <v>16</v>
      </c>
      <c r="C13" s="4">
        <v>14</v>
      </c>
      <c r="D13" s="4" t="s">
        <v>17</v>
      </c>
      <c r="E13" s="4">
        <v>86</v>
      </c>
      <c r="F13" s="4" t="s">
        <v>17</v>
      </c>
      <c r="G13" s="4" t="str">
        <f t="shared" si="0"/>
        <v>SI(G28-H28=14;86;</v>
      </c>
      <c r="H13" s="4"/>
      <c r="I13" s="4" t="s">
        <v>16</v>
      </c>
      <c r="J13" s="4" t="s">
        <v>19</v>
      </c>
      <c r="K13" s="4">
        <v>14</v>
      </c>
      <c r="L13" s="4" t="s">
        <v>17</v>
      </c>
      <c r="M13" s="4">
        <v>86</v>
      </c>
      <c r="N13" s="4" t="s">
        <v>17</v>
      </c>
      <c r="O13" s="4" t="str">
        <f t="shared" si="1"/>
        <v>SI(G28-H28=-14;86;</v>
      </c>
    </row>
    <row r="14" spans="1:15" ht="15" customHeight="1" x14ac:dyDescent="0.3">
      <c r="A14" s="4"/>
      <c r="B14" s="4" t="s">
        <v>16</v>
      </c>
      <c r="C14" s="4">
        <v>15</v>
      </c>
      <c r="D14" s="4" t="s">
        <v>17</v>
      </c>
      <c r="E14" s="4">
        <v>85</v>
      </c>
      <c r="F14" s="4" t="s">
        <v>17</v>
      </c>
      <c r="G14" s="4" t="str">
        <f t="shared" si="0"/>
        <v>SI(G28-H28=15;85;</v>
      </c>
      <c r="H14" s="4"/>
      <c r="I14" s="4" t="s">
        <v>16</v>
      </c>
      <c r="J14" s="4" t="s">
        <v>19</v>
      </c>
      <c r="K14" s="4">
        <v>15</v>
      </c>
      <c r="L14" s="4" t="s">
        <v>17</v>
      </c>
      <c r="M14" s="4">
        <v>85</v>
      </c>
      <c r="N14" s="4" t="s">
        <v>17</v>
      </c>
      <c r="O14" s="4" t="str">
        <f t="shared" si="1"/>
        <v>SI(G28-H28=-15;85;</v>
      </c>
    </row>
    <row r="15" spans="1:15" ht="15" customHeight="1" x14ac:dyDescent="0.3">
      <c r="A15" s="4"/>
      <c r="B15" s="4" t="s">
        <v>16</v>
      </c>
      <c r="C15" s="4">
        <v>16</v>
      </c>
      <c r="D15" s="4" t="s">
        <v>17</v>
      </c>
      <c r="E15" s="4">
        <v>84</v>
      </c>
      <c r="F15" s="4" t="s">
        <v>17</v>
      </c>
      <c r="G15" s="4" t="str">
        <f t="shared" si="0"/>
        <v>SI(G28-H28=16;84;</v>
      </c>
      <c r="H15" s="4"/>
      <c r="I15" s="4" t="s">
        <v>16</v>
      </c>
      <c r="J15" s="4" t="s">
        <v>19</v>
      </c>
      <c r="K15" s="4">
        <v>16</v>
      </c>
      <c r="L15" s="4" t="s">
        <v>17</v>
      </c>
      <c r="M15" s="4">
        <v>84</v>
      </c>
      <c r="N15" s="4" t="s">
        <v>17</v>
      </c>
      <c r="O15" s="4" t="str">
        <f t="shared" si="1"/>
        <v>SI(G28-H28=-16;84;</v>
      </c>
    </row>
    <row r="16" spans="1:15" ht="15" customHeight="1" x14ac:dyDescent="0.3">
      <c r="A16" s="4"/>
      <c r="B16" s="4" t="s">
        <v>16</v>
      </c>
      <c r="C16" s="4">
        <v>17</v>
      </c>
      <c r="D16" s="4" t="s">
        <v>17</v>
      </c>
      <c r="E16" s="4">
        <v>83</v>
      </c>
      <c r="F16" s="4" t="s">
        <v>17</v>
      </c>
      <c r="G16" s="4" t="str">
        <f t="shared" si="0"/>
        <v>SI(G28-H28=17;83;</v>
      </c>
      <c r="H16" s="4"/>
      <c r="I16" s="4" t="s">
        <v>16</v>
      </c>
      <c r="J16" s="4" t="s">
        <v>19</v>
      </c>
      <c r="K16" s="4">
        <v>17</v>
      </c>
      <c r="L16" s="4" t="s">
        <v>17</v>
      </c>
      <c r="M16" s="4">
        <v>83</v>
      </c>
      <c r="N16" s="4" t="s">
        <v>17</v>
      </c>
      <c r="O16" s="4" t="str">
        <f t="shared" si="1"/>
        <v>SI(G28-H28=-17;83;</v>
      </c>
    </row>
    <row r="17" spans="1:15" ht="15" customHeight="1" x14ac:dyDescent="0.3">
      <c r="A17" s="4"/>
      <c r="B17" s="4" t="s">
        <v>16</v>
      </c>
      <c r="C17" s="4">
        <v>18</v>
      </c>
      <c r="D17" s="4" t="s">
        <v>17</v>
      </c>
      <c r="E17" s="4">
        <v>82</v>
      </c>
      <c r="F17" s="4" t="s">
        <v>17</v>
      </c>
      <c r="G17" s="4" t="str">
        <f t="shared" si="0"/>
        <v>SI(G28-H28=18;82;</v>
      </c>
      <c r="H17" s="4"/>
      <c r="I17" s="4" t="s">
        <v>16</v>
      </c>
      <c r="J17" s="4" t="s">
        <v>19</v>
      </c>
      <c r="K17" s="4">
        <v>18</v>
      </c>
      <c r="L17" s="4" t="s">
        <v>17</v>
      </c>
      <c r="M17" s="4">
        <v>82</v>
      </c>
      <c r="N17" s="4" t="s">
        <v>17</v>
      </c>
      <c r="O17" s="4" t="str">
        <f t="shared" si="1"/>
        <v>SI(G28-H28=-18;82;</v>
      </c>
    </row>
    <row r="18" spans="1:15" ht="14.4" x14ac:dyDescent="0.3">
      <c r="A18" s="4"/>
      <c r="B18" s="4" t="s">
        <v>16</v>
      </c>
      <c r="C18" s="4">
        <v>19</v>
      </c>
      <c r="D18" s="4" t="s">
        <v>17</v>
      </c>
      <c r="E18" s="4">
        <v>81</v>
      </c>
      <c r="F18" s="4" t="s">
        <v>17</v>
      </c>
      <c r="G18" s="4" t="str">
        <f t="shared" si="0"/>
        <v>SI(G28-H28=19;81;</v>
      </c>
      <c r="H18" s="4"/>
      <c r="I18" s="4" t="s">
        <v>16</v>
      </c>
      <c r="J18" s="4" t="s">
        <v>19</v>
      </c>
      <c r="K18" s="4">
        <v>19</v>
      </c>
      <c r="L18" s="4" t="s">
        <v>17</v>
      </c>
      <c r="M18" s="4">
        <v>81</v>
      </c>
      <c r="N18" s="4" t="s">
        <v>17</v>
      </c>
      <c r="O18" s="4" t="str">
        <f t="shared" si="1"/>
        <v>SI(G28-H28=-19;81;</v>
      </c>
    </row>
    <row r="19" spans="1:15" ht="14.4" x14ac:dyDescent="0.3">
      <c r="A19" s="4"/>
      <c r="B19" s="4" t="s">
        <v>16</v>
      </c>
      <c r="C19" s="4">
        <v>20</v>
      </c>
      <c r="D19" s="4" t="s">
        <v>17</v>
      </c>
      <c r="E19" s="4">
        <v>80</v>
      </c>
      <c r="F19" s="4" t="s">
        <v>17</v>
      </c>
      <c r="G19" s="4" t="str">
        <f t="shared" si="0"/>
        <v>SI(G28-H28=20;80;</v>
      </c>
      <c r="H19" s="4"/>
      <c r="I19" s="4" t="s">
        <v>16</v>
      </c>
      <c r="J19" s="4" t="s">
        <v>19</v>
      </c>
      <c r="K19" s="4">
        <v>20</v>
      </c>
      <c r="L19" s="4" t="s">
        <v>17</v>
      </c>
      <c r="M19" s="4">
        <v>80</v>
      </c>
      <c r="N19" s="4" t="s">
        <v>17</v>
      </c>
      <c r="O19" s="4" t="str">
        <f t="shared" si="1"/>
        <v>SI(G28-H28=-20;80;</v>
      </c>
    </row>
    <row r="20" spans="1:15" ht="14.4" x14ac:dyDescent="0.3">
      <c r="A20" s="4"/>
      <c r="B20" s="4" t="s">
        <v>16</v>
      </c>
      <c r="C20" s="4">
        <v>21</v>
      </c>
      <c r="D20" s="4" t="s">
        <v>17</v>
      </c>
      <c r="E20" s="4">
        <v>79</v>
      </c>
      <c r="F20" s="4" t="s">
        <v>17</v>
      </c>
      <c r="G20" s="4" t="str">
        <f t="shared" si="0"/>
        <v>SI(G28-H28=21;79;</v>
      </c>
      <c r="H20" s="4"/>
      <c r="I20" s="4" t="s">
        <v>16</v>
      </c>
      <c r="J20" s="4" t="s">
        <v>19</v>
      </c>
      <c r="K20" s="4">
        <v>21</v>
      </c>
      <c r="L20" s="4" t="s">
        <v>17</v>
      </c>
      <c r="M20" s="4">
        <v>79</v>
      </c>
      <c r="N20" s="4" t="s">
        <v>17</v>
      </c>
      <c r="O20" s="4" t="str">
        <f t="shared" si="1"/>
        <v>SI(G28-H28=-21;79;</v>
      </c>
    </row>
    <row r="21" spans="1:15" ht="14.4" x14ac:dyDescent="0.3">
      <c r="A21" s="4"/>
      <c r="B21" s="4" t="s">
        <v>16</v>
      </c>
      <c r="C21" s="4">
        <v>22</v>
      </c>
      <c r="D21" s="4" t="s">
        <v>17</v>
      </c>
      <c r="E21" s="4">
        <v>78</v>
      </c>
      <c r="F21" s="4" t="s">
        <v>17</v>
      </c>
      <c r="G21" s="4" t="str">
        <f t="shared" si="0"/>
        <v>SI(G28-H28=22;78;</v>
      </c>
      <c r="H21" s="4"/>
      <c r="I21" s="4" t="s">
        <v>16</v>
      </c>
      <c r="J21" s="4" t="s">
        <v>19</v>
      </c>
      <c r="K21" s="4">
        <v>22</v>
      </c>
      <c r="L21" s="4" t="s">
        <v>17</v>
      </c>
      <c r="M21" s="4">
        <v>78</v>
      </c>
      <c r="N21" s="4" t="s">
        <v>17</v>
      </c>
      <c r="O21" s="4" t="str">
        <f t="shared" si="1"/>
        <v>SI(G28-H28=-22;78;</v>
      </c>
    </row>
    <row r="22" spans="1:15" ht="14.4" x14ac:dyDescent="0.3">
      <c r="A22" s="4"/>
      <c r="B22" s="4" t="s">
        <v>16</v>
      </c>
      <c r="C22" s="4">
        <v>23</v>
      </c>
      <c r="D22" s="4" t="s">
        <v>17</v>
      </c>
      <c r="E22" s="4">
        <v>77</v>
      </c>
      <c r="F22" s="4" t="s">
        <v>17</v>
      </c>
      <c r="G22" s="4" t="str">
        <f t="shared" si="0"/>
        <v>SI(G28-H28=23;77;</v>
      </c>
      <c r="H22" s="4"/>
      <c r="I22" s="4" t="s">
        <v>16</v>
      </c>
      <c r="J22" s="4" t="s">
        <v>19</v>
      </c>
      <c r="K22" s="4">
        <v>23</v>
      </c>
      <c r="L22" s="4" t="s">
        <v>17</v>
      </c>
      <c r="M22" s="4">
        <v>77</v>
      </c>
      <c r="N22" s="4" t="s">
        <v>17</v>
      </c>
      <c r="O22" s="4" t="str">
        <f t="shared" si="1"/>
        <v>SI(G28-H28=-23;77;</v>
      </c>
    </row>
    <row r="23" spans="1:15" ht="14.4" x14ac:dyDescent="0.3">
      <c r="A23" s="4"/>
      <c r="B23" s="4" t="s">
        <v>16</v>
      </c>
      <c r="C23" s="4">
        <v>24</v>
      </c>
      <c r="D23" s="4" t="s">
        <v>17</v>
      </c>
      <c r="E23" s="4">
        <v>76</v>
      </c>
      <c r="F23" s="4" t="s">
        <v>17</v>
      </c>
      <c r="G23" s="4" t="str">
        <f t="shared" si="0"/>
        <v>SI(G28-H28=24;76;</v>
      </c>
      <c r="H23" s="4"/>
      <c r="I23" s="4" t="s">
        <v>16</v>
      </c>
      <c r="J23" s="4" t="s">
        <v>19</v>
      </c>
      <c r="K23" s="4">
        <v>24</v>
      </c>
      <c r="L23" s="4" t="s">
        <v>17</v>
      </c>
      <c r="M23" s="4">
        <v>76</v>
      </c>
      <c r="N23" s="4" t="s">
        <v>17</v>
      </c>
      <c r="O23" s="4" t="str">
        <f t="shared" si="1"/>
        <v>SI(G28-H28=-24;76;</v>
      </c>
    </row>
    <row r="24" spans="1:15" ht="14.4" x14ac:dyDescent="0.3">
      <c r="A24" s="4"/>
      <c r="B24" s="4" t="s">
        <v>16</v>
      </c>
      <c r="C24" s="4">
        <v>25</v>
      </c>
      <c r="D24" s="4" t="s">
        <v>17</v>
      </c>
      <c r="E24" s="4">
        <v>75</v>
      </c>
      <c r="F24" s="4" t="s">
        <v>17</v>
      </c>
      <c r="G24" s="4" t="str">
        <f t="shared" si="0"/>
        <v>SI(G28-H28=25;75;</v>
      </c>
      <c r="H24" s="4"/>
      <c r="I24" s="4" t="s">
        <v>16</v>
      </c>
      <c r="J24" s="4" t="s">
        <v>19</v>
      </c>
      <c r="K24" s="4">
        <v>25</v>
      </c>
      <c r="L24" s="4" t="s">
        <v>17</v>
      </c>
      <c r="M24" s="4">
        <v>75</v>
      </c>
      <c r="N24" s="4" t="s">
        <v>17</v>
      </c>
      <c r="O24" s="4" t="str">
        <f t="shared" si="1"/>
        <v>SI(G28-H28=-25;75;</v>
      </c>
    </row>
    <row r="25" spans="1:15" ht="14.4" x14ac:dyDescent="0.3">
      <c r="A25" s="4"/>
      <c r="B25" s="4" t="s">
        <v>16</v>
      </c>
      <c r="C25" s="4">
        <v>26</v>
      </c>
      <c r="D25" s="4" t="s">
        <v>17</v>
      </c>
      <c r="E25" s="4">
        <v>74</v>
      </c>
      <c r="F25" s="4" t="s">
        <v>17</v>
      </c>
      <c r="G25" s="4" t="str">
        <f t="shared" si="0"/>
        <v>SI(G28-H28=26;74;</v>
      </c>
      <c r="H25" s="4"/>
      <c r="I25" s="4" t="s">
        <v>16</v>
      </c>
      <c r="J25" s="4" t="s">
        <v>19</v>
      </c>
      <c r="K25" s="4">
        <v>26</v>
      </c>
      <c r="L25" s="4" t="s">
        <v>17</v>
      </c>
      <c r="M25" s="4">
        <v>74</v>
      </c>
      <c r="N25" s="4" t="s">
        <v>17</v>
      </c>
      <c r="O25" s="4" t="str">
        <f t="shared" si="1"/>
        <v>SI(G28-H28=-26;74;</v>
      </c>
    </row>
    <row r="26" spans="1:15" ht="14.4" x14ac:dyDescent="0.3">
      <c r="A26" s="4"/>
      <c r="B26" s="4" t="s">
        <v>16</v>
      </c>
      <c r="C26" s="4">
        <v>27</v>
      </c>
      <c r="D26" s="4" t="s">
        <v>17</v>
      </c>
      <c r="E26" s="4">
        <v>73</v>
      </c>
      <c r="F26" s="4" t="s">
        <v>17</v>
      </c>
      <c r="G26" s="4" t="str">
        <f t="shared" si="0"/>
        <v>SI(G28-H28=27;73;</v>
      </c>
      <c r="H26" s="4"/>
      <c r="I26" s="4" t="s">
        <v>16</v>
      </c>
      <c r="J26" s="4" t="s">
        <v>19</v>
      </c>
      <c r="K26" s="4">
        <v>27</v>
      </c>
      <c r="L26" s="4" t="s">
        <v>17</v>
      </c>
      <c r="M26" s="4">
        <v>73</v>
      </c>
      <c r="N26" s="4" t="s">
        <v>17</v>
      </c>
      <c r="O26" s="4" t="str">
        <f t="shared" si="1"/>
        <v>SI(G28-H28=-27;73;</v>
      </c>
    </row>
    <row r="27" spans="1:15" ht="14.4" x14ac:dyDescent="0.3">
      <c r="A27" s="4"/>
      <c r="B27" s="4" t="s">
        <v>16</v>
      </c>
      <c r="C27" s="4">
        <v>28</v>
      </c>
      <c r="D27" s="4" t="s">
        <v>17</v>
      </c>
      <c r="E27" s="4">
        <v>72</v>
      </c>
      <c r="F27" s="4" t="s">
        <v>17</v>
      </c>
      <c r="G27" s="4" t="str">
        <f t="shared" si="0"/>
        <v>SI(G28-H28=28;72;</v>
      </c>
      <c r="H27" s="4"/>
      <c r="I27" s="4" t="s">
        <v>16</v>
      </c>
      <c r="J27" s="4" t="s">
        <v>19</v>
      </c>
      <c r="K27" s="4">
        <v>28</v>
      </c>
      <c r="L27" s="4" t="s">
        <v>17</v>
      </c>
      <c r="M27" s="4">
        <v>72</v>
      </c>
      <c r="N27" s="4" t="s">
        <v>17</v>
      </c>
      <c r="O27" s="4" t="str">
        <f t="shared" si="1"/>
        <v>SI(G28-H28=-28;72;</v>
      </c>
    </row>
    <row r="28" spans="1:15" ht="14.4" x14ac:dyDescent="0.3">
      <c r="A28" s="4"/>
      <c r="B28" s="4" t="s">
        <v>16</v>
      </c>
      <c r="C28" s="4">
        <v>29</v>
      </c>
      <c r="D28" s="4" t="s">
        <v>17</v>
      </c>
      <c r="E28" s="4">
        <v>71</v>
      </c>
      <c r="F28" s="4" t="s">
        <v>17</v>
      </c>
      <c r="G28" s="4" t="str">
        <f t="shared" si="0"/>
        <v>SI(G28-H28=29;71;</v>
      </c>
      <c r="H28" s="4"/>
      <c r="I28" s="4" t="s">
        <v>16</v>
      </c>
      <c r="J28" s="4" t="s">
        <v>19</v>
      </c>
      <c r="K28" s="4">
        <v>29</v>
      </c>
      <c r="L28" s="4" t="s">
        <v>17</v>
      </c>
      <c r="M28" s="4">
        <v>71</v>
      </c>
      <c r="N28" s="4" t="s">
        <v>17</v>
      </c>
      <c r="O28" s="4" t="str">
        <f t="shared" si="1"/>
        <v>SI(G28-H28=-29;71;</v>
      </c>
    </row>
    <row r="29" spans="1:15" ht="14.4" x14ac:dyDescent="0.3">
      <c r="A29" s="4"/>
      <c r="B29" s="4" t="s">
        <v>16</v>
      </c>
      <c r="C29" s="4">
        <v>30</v>
      </c>
      <c r="D29" s="4" t="s">
        <v>17</v>
      </c>
      <c r="E29" s="4">
        <v>70</v>
      </c>
      <c r="F29" s="4" t="s">
        <v>17</v>
      </c>
      <c r="G29" s="4" t="str">
        <f t="shared" si="0"/>
        <v>SI(G28-H28=30;70;</v>
      </c>
      <c r="H29" s="4"/>
      <c r="I29" s="4" t="s">
        <v>16</v>
      </c>
      <c r="J29" s="4" t="s">
        <v>19</v>
      </c>
      <c r="K29" s="4">
        <v>30</v>
      </c>
      <c r="L29" s="4" t="s">
        <v>17</v>
      </c>
      <c r="M29" s="4">
        <v>70</v>
      </c>
      <c r="N29" s="4" t="s">
        <v>17</v>
      </c>
      <c r="O29" s="4" t="str">
        <f t="shared" si="1"/>
        <v>SI(G28-H28=-30;70;</v>
      </c>
    </row>
    <row r="30" spans="1:15" ht="14.4" x14ac:dyDescent="0.3">
      <c r="A30" s="4"/>
      <c r="B30" s="4" t="s">
        <v>16</v>
      </c>
      <c r="C30" s="4">
        <v>31</v>
      </c>
      <c r="D30" s="4" t="s">
        <v>17</v>
      </c>
      <c r="E30" s="4">
        <v>69</v>
      </c>
      <c r="F30" s="4" t="s">
        <v>17</v>
      </c>
      <c r="G30" s="4" t="str">
        <f t="shared" si="0"/>
        <v>SI(G28-H28=31;69;</v>
      </c>
      <c r="H30" s="4"/>
      <c r="I30" s="4" t="s">
        <v>16</v>
      </c>
      <c r="J30" s="4" t="s">
        <v>19</v>
      </c>
      <c r="K30" s="4">
        <v>31</v>
      </c>
      <c r="L30" s="4" t="s">
        <v>17</v>
      </c>
      <c r="M30" s="4">
        <v>69</v>
      </c>
      <c r="N30" s="4" t="s">
        <v>17</v>
      </c>
      <c r="O30" s="4" t="str">
        <f t="shared" si="1"/>
        <v>SI(G28-H28=-31;69;</v>
      </c>
    </row>
    <row r="31" spans="1:15" ht="14.4" x14ac:dyDescent="0.3">
      <c r="A31" s="4"/>
      <c r="B31" s="4" t="s">
        <v>16</v>
      </c>
      <c r="C31" s="4">
        <v>32</v>
      </c>
      <c r="D31" s="4" t="s">
        <v>17</v>
      </c>
      <c r="E31" s="4">
        <v>68</v>
      </c>
      <c r="F31" s="4" t="s">
        <v>17</v>
      </c>
      <c r="G31" s="4" t="str">
        <f t="shared" si="0"/>
        <v>SI(G28-H28=32;68;</v>
      </c>
      <c r="H31" s="4"/>
      <c r="I31" s="4" t="s">
        <v>16</v>
      </c>
      <c r="J31" s="4" t="s">
        <v>19</v>
      </c>
      <c r="K31" s="4">
        <v>32</v>
      </c>
      <c r="L31" s="4" t="s">
        <v>17</v>
      </c>
      <c r="M31" s="4">
        <v>68</v>
      </c>
      <c r="N31" s="4" t="s">
        <v>17</v>
      </c>
      <c r="O31" s="4" t="str">
        <f t="shared" si="1"/>
        <v>SI(G28-H28=-32;68;</v>
      </c>
    </row>
    <row r="32" spans="1:15" ht="14.4" x14ac:dyDescent="0.3">
      <c r="A32" s="4"/>
      <c r="B32" s="4" t="s">
        <v>16</v>
      </c>
      <c r="C32" s="4">
        <v>33</v>
      </c>
      <c r="D32" s="4" t="s">
        <v>17</v>
      </c>
      <c r="E32" s="4">
        <v>67</v>
      </c>
      <c r="F32" s="4" t="s">
        <v>17</v>
      </c>
      <c r="G32" s="4" t="str">
        <f t="shared" si="0"/>
        <v>SI(G28-H28=33;67;</v>
      </c>
      <c r="H32" s="4"/>
      <c r="I32" s="4" t="s">
        <v>16</v>
      </c>
      <c r="J32" s="4" t="s">
        <v>19</v>
      </c>
      <c r="K32" s="4">
        <v>33</v>
      </c>
      <c r="L32" s="4" t="s">
        <v>17</v>
      </c>
      <c r="M32" s="4">
        <v>67</v>
      </c>
      <c r="N32" s="4" t="s">
        <v>17</v>
      </c>
      <c r="O32" s="4" t="str">
        <f t="shared" si="1"/>
        <v>SI(G28-H28=-33;67;</v>
      </c>
    </row>
    <row r="33" spans="1:15" ht="14.4" x14ac:dyDescent="0.3">
      <c r="A33" s="4"/>
      <c r="B33" s="4" t="s">
        <v>16</v>
      </c>
      <c r="C33" s="4">
        <v>34</v>
      </c>
      <c r="D33" s="4" t="s">
        <v>17</v>
      </c>
      <c r="E33" s="4">
        <v>66</v>
      </c>
      <c r="F33" s="4" t="s">
        <v>17</v>
      </c>
      <c r="G33" s="4" t="str">
        <f t="shared" si="0"/>
        <v>SI(G28-H28=34;66;</v>
      </c>
      <c r="H33" s="4"/>
      <c r="I33" s="4" t="s">
        <v>16</v>
      </c>
      <c r="J33" s="4" t="s">
        <v>19</v>
      </c>
      <c r="K33" s="4">
        <v>34</v>
      </c>
      <c r="L33" s="4" t="s">
        <v>17</v>
      </c>
      <c r="M33" s="4">
        <v>66</v>
      </c>
      <c r="N33" s="4" t="s">
        <v>17</v>
      </c>
      <c r="O33" s="4" t="str">
        <f t="shared" si="1"/>
        <v>SI(G28-H28=-34;66;</v>
      </c>
    </row>
    <row r="34" spans="1:15" ht="14.4" x14ac:dyDescent="0.3">
      <c r="A34" s="4"/>
      <c r="B34" s="4" t="s">
        <v>16</v>
      </c>
      <c r="C34" s="4">
        <v>35</v>
      </c>
      <c r="D34" s="4" t="s">
        <v>17</v>
      </c>
      <c r="E34" s="4">
        <v>65</v>
      </c>
      <c r="F34" s="4" t="s">
        <v>17</v>
      </c>
      <c r="G34" s="4" t="str">
        <f t="shared" si="0"/>
        <v>SI(G28-H28=35;65;</v>
      </c>
      <c r="H34" s="4"/>
      <c r="I34" s="4" t="s">
        <v>16</v>
      </c>
      <c r="J34" s="4" t="s">
        <v>19</v>
      </c>
      <c r="K34" s="4">
        <v>35</v>
      </c>
      <c r="L34" s="4" t="s">
        <v>17</v>
      </c>
      <c r="M34" s="4">
        <v>65</v>
      </c>
      <c r="N34" s="4" t="s">
        <v>17</v>
      </c>
      <c r="O34" s="4" t="str">
        <f t="shared" si="1"/>
        <v>SI(G28-H28=-35;65;</v>
      </c>
    </row>
    <row r="35" spans="1:15" ht="14.4" x14ac:dyDescent="0.3">
      <c r="A35" s="4"/>
      <c r="B35" s="4" t="s">
        <v>16</v>
      </c>
      <c r="C35" s="4">
        <v>36</v>
      </c>
      <c r="D35" s="4" t="s">
        <v>17</v>
      </c>
      <c r="E35" s="4">
        <v>64</v>
      </c>
      <c r="F35" s="4" t="s">
        <v>17</v>
      </c>
      <c r="G35" s="4" t="str">
        <f t="shared" si="0"/>
        <v>SI(G28-H28=36;64;</v>
      </c>
      <c r="H35" s="4"/>
      <c r="I35" s="4" t="s">
        <v>16</v>
      </c>
      <c r="J35" s="4" t="s">
        <v>19</v>
      </c>
      <c r="K35" s="4">
        <v>36</v>
      </c>
      <c r="L35" s="4" t="s">
        <v>17</v>
      </c>
      <c r="M35" s="4">
        <v>64</v>
      </c>
      <c r="N35" s="4" t="s">
        <v>17</v>
      </c>
      <c r="O35" s="4" t="str">
        <f t="shared" si="1"/>
        <v>SI(G28-H28=-36;64;</v>
      </c>
    </row>
    <row r="36" spans="1:15" ht="14.4" x14ac:dyDescent="0.3">
      <c r="A36" s="4"/>
      <c r="B36" s="4" t="s">
        <v>16</v>
      </c>
      <c r="C36" s="4">
        <v>37</v>
      </c>
      <c r="D36" s="4" t="s">
        <v>17</v>
      </c>
      <c r="E36" s="4">
        <v>63</v>
      </c>
      <c r="F36" s="4" t="s">
        <v>17</v>
      </c>
      <c r="G36" s="4" t="str">
        <f t="shared" si="0"/>
        <v>SI(G28-H28=37;63;</v>
      </c>
      <c r="H36" s="4"/>
      <c r="I36" s="4" t="s">
        <v>16</v>
      </c>
      <c r="J36" s="4" t="s">
        <v>19</v>
      </c>
      <c r="K36" s="4">
        <v>37</v>
      </c>
      <c r="L36" s="4" t="s">
        <v>17</v>
      </c>
      <c r="M36" s="4">
        <v>63</v>
      </c>
      <c r="N36" s="4" t="s">
        <v>17</v>
      </c>
      <c r="O36" s="4" t="str">
        <f t="shared" si="1"/>
        <v>SI(G28-H28=-37;63;</v>
      </c>
    </row>
    <row r="37" spans="1:15" ht="14.4" x14ac:dyDescent="0.3">
      <c r="A37" s="4"/>
      <c r="B37" s="4" t="s">
        <v>16</v>
      </c>
      <c r="C37" s="4">
        <v>38</v>
      </c>
      <c r="D37" s="4" t="s">
        <v>17</v>
      </c>
      <c r="E37" s="4">
        <v>62</v>
      </c>
      <c r="F37" s="4" t="s">
        <v>17</v>
      </c>
      <c r="G37" s="4" t="str">
        <f t="shared" si="0"/>
        <v>SI(G28-H28=38;62;</v>
      </c>
      <c r="H37" s="4"/>
      <c r="I37" s="4" t="s">
        <v>16</v>
      </c>
      <c r="J37" s="4" t="s">
        <v>19</v>
      </c>
      <c r="K37" s="4">
        <v>38</v>
      </c>
      <c r="L37" s="4" t="s">
        <v>17</v>
      </c>
      <c r="M37" s="4">
        <v>62</v>
      </c>
      <c r="N37" s="4" t="s">
        <v>17</v>
      </c>
      <c r="O37" s="4" t="str">
        <f t="shared" si="1"/>
        <v>SI(G28-H28=-38;62;</v>
      </c>
    </row>
    <row r="38" spans="1:15" ht="14.4" x14ac:dyDescent="0.3">
      <c r="A38" s="4"/>
      <c r="B38" s="4" t="s">
        <v>16</v>
      </c>
      <c r="C38" s="4">
        <v>39</v>
      </c>
      <c r="D38" s="4" t="s">
        <v>17</v>
      </c>
      <c r="E38" s="4">
        <v>61</v>
      </c>
      <c r="F38" s="4" t="s">
        <v>17</v>
      </c>
      <c r="G38" s="4" t="str">
        <f t="shared" si="0"/>
        <v>SI(G28-H28=39;61;</v>
      </c>
      <c r="H38" s="4"/>
      <c r="I38" s="4" t="s">
        <v>16</v>
      </c>
      <c r="J38" s="4" t="s">
        <v>19</v>
      </c>
      <c r="K38" s="4">
        <v>39</v>
      </c>
      <c r="L38" s="4" t="s">
        <v>17</v>
      </c>
      <c r="M38" s="4">
        <v>61</v>
      </c>
      <c r="N38" s="4" t="s">
        <v>17</v>
      </c>
      <c r="O38" s="4" t="str">
        <f t="shared" si="1"/>
        <v>SI(G28-H28=-39;61;</v>
      </c>
    </row>
    <row r="39" spans="1:15" ht="14.4" x14ac:dyDescent="0.3">
      <c r="A39" s="4"/>
      <c r="B39" s="4" t="s">
        <v>16</v>
      </c>
      <c r="C39" s="4">
        <v>40</v>
      </c>
      <c r="D39" s="4" t="s">
        <v>17</v>
      </c>
      <c r="E39" s="4">
        <v>60</v>
      </c>
      <c r="F39" s="4" t="s">
        <v>17</v>
      </c>
      <c r="G39" s="4" t="str">
        <f t="shared" si="0"/>
        <v>SI(G28-H28=40;60;</v>
      </c>
      <c r="H39" s="4"/>
      <c r="I39" s="4" t="s">
        <v>16</v>
      </c>
      <c r="J39" s="4" t="s">
        <v>19</v>
      </c>
      <c r="K39" s="4">
        <v>40</v>
      </c>
      <c r="L39" s="4" t="s">
        <v>17</v>
      </c>
      <c r="M39" s="4">
        <v>60</v>
      </c>
      <c r="N39" s="4" t="s">
        <v>17</v>
      </c>
      <c r="O39" s="4" t="str">
        <f t="shared" si="1"/>
        <v>SI(G28-H28=-40;60;</v>
      </c>
    </row>
    <row r="40" spans="1:15" ht="14.4" x14ac:dyDescent="0.3">
      <c r="A40" s="4"/>
      <c r="B40" s="4" t="s">
        <v>16</v>
      </c>
      <c r="C40" s="4">
        <v>41</v>
      </c>
      <c r="D40" s="4" t="s">
        <v>17</v>
      </c>
      <c r="E40" s="4">
        <v>59</v>
      </c>
      <c r="F40" s="4" t="s">
        <v>17</v>
      </c>
      <c r="G40" s="4" t="str">
        <f t="shared" si="0"/>
        <v>SI(G28-H28=41;59;</v>
      </c>
      <c r="H40" s="4"/>
      <c r="I40" s="4" t="s">
        <v>16</v>
      </c>
      <c r="J40" s="4" t="s">
        <v>19</v>
      </c>
      <c r="K40" s="4">
        <v>41</v>
      </c>
      <c r="L40" s="4" t="s">
        <v>17</v>
      </c>
      <c r="M40" s="4">
        <v>59</v>
      </c>
      <c r="N40" s="4" t="s">
        <v>17</v>
      </c>
      <c r="O40" s="4" t="str">
        <f t="shared" si="1"/>
        <v>SI(G28-H28=-41;59;</v>
      </c>
    </row>
    <row r="41" spans="1:15" ht="14.4" x14ac:dyDescent="0.3">
      <c r="A41" s="4"/>
      <c r="B41" s="4" t="s">
        <v>16</v>
      </c>
      <c r="C41" s="4">
        <v>42</v>
      </c>
      <c r="D41" s="4" t="s">
        <v>17</v>
      </c>
      <c r="E41" s="4">
        <v>58</v>
      </c>
      <c r="F41" s="4" t="s">
        <v>17</v>
      </c>
      <c r="G41" s="4" t="str">
        <f t="shared" si="0"/>
        <v>SI(G28-H28=42;58;</v>
      </c>
      <c r="H41" s="4"/>
      <c r="I41" s="4" t="s">
        <v>16</v>
      </c>
      <c r="J41" s="4" t="s">
        <v>19</v>
      </c>
      <c r="K41" s="4">
        <v>42</v>
      </c>
      <c r="L41" s="4" t="s">
        <v>17</v>
      </c>
      <c r="M41" s="4">
        <v>58</v>
      </c>
      <c r="N41" s="4" t="s">
        <v>17</v>
      </c>
      <c r="O41" s="4" t="str">
        <f t="shared" si="1"/>
        <v>SI(G28-H28=-42;58;</v>
      </c>
    </row>
    <row r="42" spans="1:15" ht="14.4" x14ac:dyDescent="0.3">
      <c r="A42" s="4"/>
      <c r="B42" s="4" t="s">
        <v>16</v>
      </c>
      <c r="C42" s="4">
        <v>43</v>
      </c>
      <c r="D42" s="4" t="s">
        <v>17</v>
      </c>
      <c r="E42" s="4">
        <v>57</v>
      </c>
      <c r="F42" s="4" t="s">
        <v>17</v>
      </c>
      <c r="G42" s="4" t="str">
        <f t="shared" si="0"/>
        <v>SI(G28-H28=43;57;</v>
      </c>
      <c r="H42" s="4"/>
      <c r="I42" s="4" t="s">
        <v>16</v>
      </c>
      <c r="J42" s="4" t="s">
        <v>19</v>
      </c>
      <c r="K42" s="4">
        <v>43</v>
      </c>
      <c r="L42" s="4" t="s">
        <v>17</v>
      </c>
      <c r="M42" s="4">
        <v>57</v>
      </c>
      <c r="N42" s="4" t="s">
        <v>17</v>
      </c>
      <c r="O42" s="4" t="str">
        <f t="shared" si="1"/>
        <v>SI(G28-H28=-43;57;</v>
      </c>
    </row>
    <row r="43" spans="1:15" ht="14.4" x14ac:dyDescent="0.3">
      <c r="A43" s="4"/>
      <c r="B43" s="4" t="s">
        <v>16</v>
      </c>
      <c r="C43" s="4">
        <v>44</v>
      </c>
      <c r="D43" s="4" t="s">
        <v>17</v>
      </c>
      <c r="E43" s="4">
        <v>56</v>
      </c>
      <c r="F43" s="4" t="s">
        <v>17</v>
      </c>
      <c r="G43" s="4" t="str">
        <f t="shared" si="0"/>
        <v>SI(G28-H28=44;56;</v>
      </c>
      <c r="H43" s="4"/>
      <c r="I43" s="4" t="s">
        <v>16</v>
      </c>
      <c r="J43" s="4" t="s">
        <v>19</v>
      </c>
      <c r="K43" s="4">
        <v>44</v>
      </c>
      <c r="L43" s="4" t="s">
        <v>17</v>
      </c>
      <c r="M43" s="4">
        <v>56</v>
      </c>
      <c r="N43" s="4" t="s">
        <v>17</v>
      </c>
      <c r="O43" s="4" t="str">
        <f t="shared" si="1"/>
        <v>SI(G28-H28=-44;56;</v>
      </c>
    </row>
    <row r="44" spans="1:15" ht="14.4" x14ac:dyDescent="0.3">
      <c r="A44" s="4"/>
      <c r="B44" s="4" t="s">
        <v>16</v>
      </c>
      <c r="C44" s="4">
        <v>45</v>
      </c>
      <c r="D44" s="4" t="s">
        <v>17</v>
      </c>
      <c r="E44" s="4">
        <v>55</v>
      </c>
      <c r="F44" s="4" t="s">
        <v>17</v>
      </c>
      <c r="G44" s="4" t="str">
        <f t="shared" si="0"/>
        <v>SI(G28-H28=45;55;</v>
      </c>
      <c r="H44" s="4"/>
      <c r="I44" s="4" t="s">
        <v>16</v>
      </c>
      <c r="J44" s="4" t="s">
        <v>19</v>
      </c>
      <c r="K44" s="4">
        <v>45</v>
      </c>
      <c r="L44" s="4" t="s">
        <v>17</v>
      </c>
      <c r="M44" s="4">
        <v>55</v>
      </c>
      <c r="N44" s="4" t="s">
        <v>17</v>
      </c>
      <c r="O44" s="4" t="str">
        <f t="shared" si="1"/>
        <v>SI(G28-H28=-45;55;</v>
      </c>
    </row>
    <row r="45" spans="1:15" ht="14.4" x14ac:dyDescent="0.3">
      <c r="A45" s="4"/>
      <c r="B45" s="4" t="s">
        <v>16</v>
      </c>
      <c r="C45" s="4">
        <v>46</v>
      </c>
      <c r="D45" s="4" t="s">
        <v>17</v>
      </c>
      <c r="E45" s="4">
        <v>54</v>
      </c>
      <c r="F45" s="4" t="s">
        <v>17</v>
      </c>
      <c r="G45" s="4" t="str">
        <f t="shared" si="0"/>
        <v>SI(G28-H28=46;54;</v>
      </c>
      <c r="H45" s="4"/>
      <c r="I45" s="4" t="s">
        <v>16</v>
      </c>
      <c r="J45" s="4" t="s">
        <v>19</v>
      </c>
      <c r="K45" s="4">
        <v>46</v>
      </c>
      <c r="L45" s="4" t="s">
        <v>17</v>
      </c>
      <c r="M45" s="4">
        <v>54</v>
      </c>
      <c r="N45" s="4" t="s">
        <v>17</v>
      </c>
      <c r="O45" s="4" t="str">
        <f t="shared" si="1"/>
        <v>SI(G28-H28=-46;54;</v>
      </c>
    </row>
    <row r="46" spans="1:15" ht="14.4" x14ac:dyDescent="0.3">
      <c r="A46" s="4"/>
      <c r="B46" s="4" t="s">
        <v>16</v>
      </c>
      <c r="C46" s="4">
        <v>47</v>
      </c>
      <c r="D46" s="4" t="s">
        <v>17</v>
      </c>
      <c r="E46" s="4">
        <v>53</v>
      </c>
      <c r="F46" s="4" t="s">
        <v>17</v>
      </c>
      <c r="G46" s="4" t="str">
        <f t="shared" si="0"/>
        <v>SI(G28-H28=47;53;</v>
      </c>
      <c r="H46" s="4"/>
      <c r="I46" s="4" t="s">
        <v>16</v>
      </c>
      <c r="J46" s="4" t="s">
        <v>19</v>
      </c>
      <c r="K46" s="4">
        <v>47</v>
      </c>
      <c r="L46" s="4" t="s">
        <v>17</v>
      </c>
      <c r="M46" s="4">
        <v>53</v>
      </c>
      <c r="N46" s="4" t="s">
        <v>17</v>
      </c>
      <c r="O46" s="4" t="str">
        <f t="shared" si="1"/>
        <v>SI(G28-H28=-47;53;</v>
      </c>
    </row>
    <row r="47" spans="1:15" ht="14.4" x14ac:dyDescent="0.3">
      <c r="A47" s="4"/>
      <c r="B47" s="4" t="s">
        <v>16</v>
      </c>
      <c r="C47" s="4">
        <v>48</v>
      </c>
      <c r="D47" s="4" t="s">
        <v>17</v>
      </c>
      <c r="E47" s="4">
        <v>52</v>
      </c>
      <c r="F47" s="4" t="s">
        <v>17</v>
      </c>
      <c r="G47" s="4" t="str">
        <f t="shared" si="0"/>
        <v>SI(G28-H28=48;52;</v>
      </c>
      <c r="H47" s="4"/>
      <c r="I47" s="4" t="s">
        <v>16</v>
      </c>
      <c r="J47" s="4" t="s">
        <v>19</v>
      </c>
      <c r="K47" s="4">
        <v>48</v>
      </c>
      <c r="L47" s="4" t="s">
        <v>17</v>
      </c>
      <c r="M47" s="4">
        <v>52</v>
      </c>
      <c r="N47" s="4" t="s">
        <v>17</v>
      </c>
      <c r="O47" s="4" t="str">
        <f t="shared" si="1"/>
        <v>SI(G28-H28=-48;52;</v>
      </c>
    </row>
    <row r="48" spans="1:15" ht="14.4" x14ac:dyDescent="0.3">
      <c r="A48" s="4"/>
      <c r="B48" s="4" t="s">
        <v>16</v>
      </c>
      <c r="C48" s="4">
        <v>49</v>
      </c>
      <c r="D48" s="4" t="s">
        <v>17</v>
      </c>
      <c r="E48" s="4">
        <v>51</v>
      </c>
      <c r="F48" s="4" t="s">
        <v>17</v>
      </c>
      <c r="G48" s="4" t="str">
        <f t="shared" si="0"/>
        <v>SI(G28-H28=49;51;</v>
      </c>
      <c r="H48" s="4"/>
      <c r="I48" s="4" t="s">
        <v>16</v>
      </c>
      <c r="J48" s="4" t="s">
        <v>19</v>
      </c>
      <c r="K48" s="4">
        <v>49</v>
      </c>
      <c r="L48" s="4" t="s">
        <v>17</v>
      </c>
      <c r="M48" s="4">
        <v>51</v>
      </c>
      <c r="N48" s="4" t="s">
        <v>17</v>
      </c>
      <c r="O48" s="4" t="str">
        <f t="shared" si="1"/>
        <v>SI(G28-H28=-49;51;</v>
      </c>
    </row>
    <row r="49" spans="1:15" ht="14.4" x14ac:dyDescent="0.3">
      <c r="A49" s="4"/>
      <c r="B49" s="4" t="s">
        <v>16</v>
      </c>
      <c r="C49" s="4">
        <v>50</v>
      </c>
      <c r="D49" s="4" t="s">
        <v>17</v>
      </c>
      <c r="E49" s="4">
        <v>50</v>
      </c>
      <c r="F49" s="4" t="s">
        <v>17</v>
      </c>
      <c r="G49" s="4" t="str">
        <f t="shared" si="0"/>
        <v>SI(G28-H28=50;50;</v>
      </c>
      <c r="H49" s="4"/>
      <c r="I49" s="4" t="s">
        <v>16</v>
      </c>
      <c r="J49" s="4" t="s">
        <v>19</v>
      </c>
      <c r="K49" s="4">
        <v>50</v>
      </c>
      <c r="L49" s="4" t="s">
        <v>17</v>
      </c>
      <c r="M49" s="4">
        <v>50</v>
      </c>
      <c r="N49" s="4" t="s">
        <v>17</v>
      </c>
      <c r="O49" s="4" t="str">
        <f t="shared" si="1"/>
        <v>SI(G28-H28=-50;50;</v>
      </c>
    </row>
    <row r="50" spans="1:15" ht="14.4" x14ac:dyDescent="0.3">
      <c r="A50" s="4"/>
      <c r="B50" s="4" t="s">
        <v>16</v>
      </c>
      <c r="C50" s="4">
        <v>51</v>
      </c>
      <c r="D50" s="4" t="s">
        <v>17</v>
      </c>
      <c r="E50" s="4">
        <v>49</v>
      </c>
      <c r="F50" s="4" t="s">
        <v>17</v>
      </c>
      <c r="G50" s="4" t="str">
        <f t="shared" si="0"/>
        <v>SI(G28-H28=51;49;</v>
      </c>
      <c r="H50" s="4"/>
      <c r="I50" s="4" t="s">
        <v>16</v>
      </c>
      <c r="J50" s="4" t="s">
        <v>19</v>
      </c>
      <c r="K50" s="4">
        <v>51</v>
      </c>
      <c r="L50" s="4" t="s">
        <v>17</v>
      </c>
      <c r="M50" s="4">
        <v>49</v>
      </c>
      <c r="N50" s="4" t="s">
        <v>17</v>
      </c>
      <c r="O50" s="4" t="str">
        <f t="shared" si="1"/>
        <v>SI(G28-H28=-51;49;</v>
      </c>
    </row>
    <row r="51" spans="1:15" ht="14.4" x14ac:dyDescent="0.3">
      <c r="A51" s="4"/>
      <c r="B51" s="4" t="s">
        <v>16</v>
      </c>
      <c r="C51" s="4">
        <v>52</v>
      </c>
      <c r="D51" s="4" t="s">
        <v>17</v>
      </c>
      <c r="E51" s="4">
        <v>48</v>
      </c>
      <c r="F51" s="4" t="s">
        <v>17</v>
      </c>
      <c r="G51" s="4" t="str">
        <f t="shared" si="0"/>
        <v>SI(G28-H28=52;48;</v>
      </c>
      <c r="H51" s="4"/>
      <c r="I51" s="4" t="s">
        <v>16</v>
      </c>
      <c r="J51" s="4" t="s">
        <v>19</v>
      </c>
      <c r="K51" s="4">
        <v>52</v>
      </c>
      <c r="L51" s="4" t="s">
        <v>17</v>
      </c>
      <c r="M51" s="4">
        <v>48</v>
      </c>
      <c r="N51" s="4" t="s">
        <v>17</v>
      </c>
      <c r="O51" s="4" t="str">
        <f t="shared" si="1"/>
        <v>SI(G28-H28=-52;48;</v>
      </c>
    </row>
    <row r="52" spans="1:15" ht="14.4" x14ac:dyDescent="0.3">
      <c r="A52" s="4"/>
      <c r="B52" s="4" t="s">
        <v>16</v>
      </c>
      <c r="C52" s="4">
        <v>53</v>
      </c>
      <c r="D52" s="4" t="s">
        <v>17</v>
      </c>
      <c r="E52" s="4">
        <v>47</v>
      </c>
      <c r="F52" s="4" t="s">
        <v>17</v>
      </c>
      <c r="G52" s="4" t="str">
        <f t="shared" si="0"/>
        <v>SI(G28-H28=53;47;</v>
      </c>
      <c r="H52" s="4"/>
      <c r="I52" s="4" t="s">
        <v>16</v>
      </c>
      <c r="J52" s="4" t="s">
        <v>19</v>
      </c>
      <c r="K52" s="4">
        <v>53</v>
      </c>
      <c r="L52" s="4" t="s">
        <v>17</v>
      </c>
      <c r="M52" s="4">
        <v>47</v>
      </c>
      <c r="N52" s="4" t="s">
        <v>17</v>
      </c>
      <c r="O52" s="4" t="str">
        <f t="shared" si="1"/>
        <v>SI(G28-H28=-53;47;</v>
      </c>
    </row>
    <row r="53" spans="1:15" ht="14.4" x14ac:dyDescent="0.3">
      <c r="A53" s="4"/>
      <c r="B53" s="4" t="s">
        <v>16</v>
      </c>
      <c r="C53" s="4">
        <v>54</v>
      </c>
      <c r="D53" s="4" t="s">
        <v>17</v>
      </c>
      <c r="E53" s="4">
        <v>46</v>
      </c>
      <c r="F53" s="4" t="s">
        <v>17</v>
      </c>
      <c r="G53" s="4" t="str">
        <f t="shared" si="0"/>
        <v>SI(G28-H28=54;46;</v>
      </c>
      <c r="H53" s="4"/>
      <c r="I53" s="4" t="s">
        <v>16</v>
      </c>
      <c r="J53" s="4" t="s">
        <v>19</v>
      </c>
      <c r="K53" s="4">
        <v>54</v>
      </c>
      <c r="L53" s="4" t="s">
        <v>17</v>
      </c>
      <c r="M53" s="4">
        <v>46</v>
      </c>
      <c r="N53" s="4" t="s">
        <v>17</v>
      </c>
      <c r="O53" s="4" t="str">
        <f t="shared" si="1"/>
        <v>SI(G28-H28=-54;46;</v>
      </c>
    </row>
    <row r="54" spans="1:15" ht="14.4" x14ac:dyDescent="0.3">
      <c r="A54" s="4"/>
      <c r="B54" s="4" t="s">
        <v>16</v>
      </c>
      <c r="C54" s="4">
        <v>55</v>
      </c>
      <c r="D54" s="4" t="s">
        <v>17</v>
      </c>
      <c r="E54" s="4">
        <v>45</v>
      </c>
      <c r="F54" s="4" t="s">
        <v>17</v>
      </c>
      <c r="G54" s="4" t="str">
        <f t="shared" si="0"/>
        <v>SI(G28-H28=55;45;</v>
      </c>
      <c r="H54" s="4"/>
      <c r="I54" s="4" t="s">
        <v>16</v>
      </c>
      <c r="J54" s="4" t="s">
        <v>19</v>
      </c>
      <c r="K54" s="4">
        <v>55</v>
      </c>
      <c r="L54" s="4" t="s">
        <v>17</v>
      </c>
      <c r="M54" s="4">
        <v>45</v>
      </c>
      <c r="N54" s="4" t="s">
        <v>17</v>
      </c>
      <c r="O54" s="4" t="str">
        <f t="shared" si="1"/>
        <v>SI(G28-H28=-55;45;</v>
      </c>
    </row>
    <row r="55" spans="1:15" ht="14.4" x14ac:dyDescent="0.3">
      <c r="A55" s="4"/>
      <c r="B55" s="4" t="s">
        <v>16</v>
      </c>
      <c r="C55" s="4">
        <v>56</v>
      </c>
      <c r="D55" s="4" t="s">
        <v>17</v>
      </c>
      <c r="E55" s="4">
        <v>44</v>
      </c>
      <c r="F55" s="4" t="s">
        <v>17</v>
      </c>
      <c r="G55" s="4" t="str">
        <f t="shared" si="0"/>
        <v>SI(G28-H28=56;44;</v>
      </c>
      <c r="H55" s="4"/>
      <c r="I55" s="4" t="s">
        <v>16</v>
      </c>
      <c r="J55" s="4" t="s">
        <v>19</v>
      </c>
      <c r="K55" s="4">
        <v>56</v>
      </c>
      <c r="L55" s="4" t="s">
        <v>17</v>
      </c>
      <c r="M55" s="4">
        <v>44</v>
      </c>
      <c r="N55" s="4" t="s">
        <v>17</v>
      </c>
      <c r="O55" s="4" t="str">
        <f t="shared" si="1"/>
        <v>SI(G28-H28=-56;44;</v>
      </c>
    </row>
    <row r="56" spans="1:15" ht="14.4" x14ac:dyDescent="0.3">
      <c r="A56" s="4"/>
      <c r="B56" s="4" t="s">
        <v>16</v>
      </c>
      <c r="C56" s="4">
        <v>57</v>
      </c>
      <c r="D56" s="4" t="s">
        <v>17</v>
      </c>
      <c r="E56" s="4">
        <v>43</v>
      </c>
      <c r="F56" s="4" t="s">
        <v>17</v>
      </c>
      <c r="G56" s="4" t="str">
        <f t="shared" si="0"/>
        <v>SI(G28-H28=57;43;</v>
      </c>
      <c r="H56" s="4"/>
      <c r="I56" s="4" t="s">
        <v>16</v>
      </c>
      <c r="J56" s="4" t="s">
        <v>19</v>
      </c>
      <c r="K56" s="4">
        <v>57</v>
      </c>
      <c r="L56" s="4" t="s">
        <v>17</v>
      </c>
      <c r="M56" s="4">
        <v>43</v>
      </c>
      <c r="N56" s="4" t="s">
        <v>17</v>
      </c>
      <c r="O56" s="4" t="str">
        <f t="shared" si="1"/>
        <v>SI(G28-H28=-57;43;</v>
      </c>
    </row>
    <row r="57" spans="1:15" ht="14.4" x14ac:dyDescent="0.3">
      <c r="A57" s="4"/>
      <c r="B57" s="4" t="s">
        <v>16</v>
      </c>
      <c r="C57" s="4">
        <v>58</v>
      </c>
      <c r="D57" s="4" t="s">
        <v>17</v>
      </c>
      <c r="E57" s="4">
        <v>42</v>
      </c>
      <c r="F57" s="4" t="s">
        <v>17</v>
      </c>
      <c r="G57" s="4" t="str">
        <f t="shared" si="0"/>
        <v>SI(G28-H28=58;42;</v>
      </c>
      <c r="H57" s="4"/>
      <c r="I57" s="4" t="s">
        <v>16</v>
      </c>
      <c r="J57" s="4" t="s">
        <v>19</v>
      </c>
      <c r="K57" s="4">
        <v>58</v>
      </c>
      <c r="L57" s="4" t="s">
        <v>17</v>
      </c>
      <c r="M57" s="4">
        <v>42</v>
      </c>
      <c r="N57" s="4" t="s">
        <v>17</v>
      </c>
      <c r="O57" s="4" t="str">
        <f t="shared" si="1"/>
        <v>SI(G28-H28=-58;42;</v>
      </c>
    </row>
    <row r="58" spans="1:15" ht="14.4" x14ac:dyDescent="0.3">
      <c r="A58" s="4"/>
      <c r="B58" s="4" t="s">
        <v>16</v>
      </c>
      <c r="C58" s="4">
        <v>59</v>
      </c>
      <c r="D58" s="4" t="s">
        <v>17</v>
      </c>
      <c r="E58" s="4">
        <v>41</v>
      </c>
      <c r="F58" s="4" t="s">
        <v>17</v>
      </c>
      <c r="G58" s="4" t="str">
        <f t="shared" si="0"/>
        <v>SI(G28-H28=59;41;</v>
      </c>
      <c r="H58" s="4"/>
      <c r="I58" s="4" t="s">
        <v>16</v>
      </c>
      <c r="J58" s="4" t="s">
        <v>19</v>
      </c>
      <c r="K58" s="4">
        <v>59</v>
      </c>
      <c r="L58" s="4" t="s">
        <v>17</v>
      </c>
      <c r="M58" s="4">
        <v>41</v>
      </c>
      <c r="N58" s="4" t="s">
        <v>17</v>
      </c>
      <c r="O58" s="4" t="str">
        <f t="shared" si="1"/>
        <v>SI(G28-H28=-59;41;</v>
      </c>
    </row>
    <row r="59" spans="1:15" ht="14.4" x14ac:dyDescent="0.3">
      <c r="A59" s="4"/>
      <c r="B59" s="4" t="s">
        <v>16</v>
      </c>
      <c r="C59" s="4">
        <v>60</v>
      </c>
      <c r="D59" s="4" t="s">
        <v>17</v>
      </c>
      <c r="E59" s="4">
        <v>40</v>
      </c>
      <c r="F59" s="4" t="s">
        <v>17</v>
      </c>
      <c r="G59" s="4" t="str">
        <f t="shared" si="0"/>
        <v>SI(G28-H28=60;40;</v>
      </c>
      <c r="H59" s="4"/>
      <c r="I59" s="4" t="s">
        <v>16</v>
      </c>
      <c r="J59" s="4" t="s">
        <v>19</v>
      </c>
      <c r="K59" s="4">
        <v>60</v>
      </c>
      <c r="L59" s="4" t="s">
        <v>17</v>
      </c>
      <c r="M59" s="4">
        <v>40</v>
      </c>
      <c r="N59" s="4" t="s">
        <v>17</v>
      </c>
      <c r="O59" s="4" t="str">
        <f t="shared" si="1"/>
        <v>SI(G28-H28=-60;40;</v>
      </c>
    </row>
    <row r="60" spans="1:15" ht="14.4" x14ac:dyDescent="0.3">
      <c r="A60" s="4"/>
      <c r="B60" s="4" t="s">
        <v>16</v>
      </c>
      <c r="C60" s="4">
        <v>61</v>
      </c>
      <c r="D60" s="4" t="s">
        <v>17</v>
      </c>
      <c r="E60" s="4">
        <v>39</v>
      </c>
      <c r="F60" s="4" t="s">
        <v>17</v>
      </c>
      <c r="G60" s="4" t="str">
        <f t="shared" si="0"/>
        <v>SI(G28-H28=61;39;</v>
      </c>
      <c r="H60" s="4"/>
      <c r="I60" s="4" t="s">
        <v>16</v>
      </c>
      <c r="J60" s="4" t="s">
        <v>19</v>
      </c>
      <c r="K60" s="4">
        <v>61</v>
      </c>
      <c r="L60" s="4" t="s">
        <v>17</v>
      </c>
      <c r="M60" s="4">
        <v>39</v>
      </c>
      <c r="N60" s="4" t="s">
        <v>17</v>
      </c>
      <c r="O60" s="4" t="str">
        <f t="shared" si="1"/>
        <v>SI(G28-H28=-61;39;</v>
      </c>
    </row>
    <row r="61" spans="1:15" ht="14.4" x14ac:dyDescent="0.3">
      <c r="A61" s="4"/>
      <c r="B61" s="4" t="s">
        <v>16</v>
      </c>
      <c r="C61" s="4">
        <v>62</v>
      </c>
      <c r="D61" s="4" t="s">
        <v>17</v>
      </c>
      <c r="E61" s="4">
        <v>38</v>
      </c>
      <c r="F61" s="4" t="s">
        <v>17</v>
      </c>
      <c r="G61" s="4" t="str">
        <f t="shared" si="0"/>
        <v>SI(G28-H28=62;38;</v>
      </c>
      <c r="H61" s="4"/>
      <c r="I61" s="4" t="s">
        <v>16</v>
      </c>
      <c r="J61" s="4" t="s">
        <v>19</v>
      </c>
      <c r="K61" s="4">
        <v>62</v>
      </c>
      <c r="L61" s="4" t="s">
        <v>17</v>
      </c>
      <c r="M61" s="4">
        <v>38</v>
      </c>
      <c r="N61" s="4" t="s">
        <v>17</v>
      </c>
      <c r="O61" s="4" t="str">
        <f t="shared" si="1"/>
        <v>SI(G28-H28=-62;38;</v>
      </c>
    </row>
    <row r="62" spans="1:15" ht="14.4" x14ac:dyDescent="0.3">
      <c r="A62" s="4"/>
      <c r="B62" s="4" t="s">
        <v>16</v>
      </c>
      <c r="C62" s="4">
        <v>63</v>
      </c>
      <c r="D62" s="4" t="s">
        <v>17</v>
      </c>
      <c r="E62" s="4">
        <v>37</v>
      </c>
      <c r="F62" s="4" t="s">
        <v>17</v>
      </c>
      <c r="G62" s="4" t="str">
        <f t="shared" si="0"/>
        <v>SI(G28-H28=63;37;</v>
      </c>
      <c r="H62" s="4"/>
      <c r="I62" s="4" t="s">
        <v>16</v>
      </c>
      <c r="J62" s="4" t="s">
        <v>19</v>
      </c>
      <c r="K62" s="4">
        <v>63</v>
      </c>
      <c r="L62" s="4" t="s">
        <v>17</v>
      </c>
      <c r="M62" s="4">
        <v>37</v>
      </c>
      <c r="N62" s="4" t="s">
        <v>17</v>
      </c>
      <c r="O62" s="4" t="str">
        <f t="shared" si="1"/>
        <v>SI(G28-H28=-63;37;</v>
      </c>
    </row>
    <row r="63" spans="1:15" ht="14.4" x14ac:dyDescent="0.3">
      <c r="A63" s="4"/>
      <c r="B63" s="4" t="s">
        <v>16</v>
      </c>
      <c r="C63" s="4">
        <v>64</v>
      </c>
      <c r="D63" s="4" t="s">
        <v>17</v>
      </c>
      <c r="E63" s="4">
        <v>36</v>
      </c>
      <c r="F63" s="4" t="s">
        <v>17</v>
      </c>
      <c r="G63" s="4" t="str">
        <f t="shared" si="0"/>
        <v>SI(G28-H28=64;36;</v>
      </c>
      <c r="H63" s="4"/>
      <c r="I63" s="4" t="s">
        <v>16</v>
      </c>
      <c r="J63" s="4" t="s">
        <v>19</v>
      </c>
      <c r="K63" s="4">
        <v>64</v>
      </c>
      <c r="L63" s="4" t="s">
        <v>17</v>
      </c>
      <c r="M63" s="4">
        <v>36</v>
      </c>
      <c r="N63" s="4" t="s">
        <v>17</v>
      </c>
      <c r="O63" s="4" t="str">
        <f t="shared" si="1"/>
        <v>SI(G28-H28=-64;36;</v>
      </c>
    </row>
    <row r="64" spans="1:15" ht="14.4" x14ac:dyDescent="0.3">
      <c r="A64" s="4"/>
      <c r="B64" s="4" t="s">
        <v>16</v>
      </c>
      <c r="C64" s="4">
        <v>65</v>
      </c>
      <c r="D64" s="4" t="s">
        <v>17</v>
      </c>
      <c r="E64" s="4">
        <v>35</v>
      </c>
      <c r="F64" s="4" t="s">
        <v>17</v>
      </c>
      <c r="G64" s="4" t="str">
        <f t="shared" si="0"/>
        <v>SI(G28-H28=65;35;</v>
      </c>
      <c r="H64" s="4"/>
      <c r="I64" s="4" t="s">
        <v>16</v>
      </c>
      <c r="J64" s="4" t="s">
        <v>19</v>
      </c>
      <c r="K64" s="4">
        <v>65</v>
      </c>
      <c r="L64" s="4" t="s">
        <v>17</v>
      </c>
      <c r="M64" s="4">
        <v>35</v>
      </c>
      <c r="N64" s="4" t="s">
        <v>17</v>
      </c>
      <c r="O64" s="4" t="str">
        <f t="shared" si="1"/>
        <v>SI(G28-H28=-65;35;</v>
      </c>
    </row>
    <row r="65" spans="1:15" ht="14.4" x14ac:dyDescent="0.3">
      <c r="A65" s="4"/>
      <c r="B65" s="4" t="s">
        <v>16</v>
      </c>
      <c r="C65" s="4">
        <v>66</v>
      </c>
      <c r="D65" s="4" t="s">
        <v>17</v>
      </c>
      <c r="E65" s="4">
        <v>34</v>
      </c>
      <c r="F65" s="4" t="s">
        <v>17</v>
      </c>
      <c r="G65" s="4" t="str">
        <f t="shared" si="0"/>
        <v>SI(G28-H28=66;34;</v>
      </c>
      <c r="H65" s="4"/>
      <c r="I65" s="4" t="s">
        <v>16</v>
      </c>
      <c r="J65" s="4" t="s">
        <v>19</v>
      </c>
      <c r="K65" s="4">
        <v>66</v>
      </c>
      <c r="L65" s="4" t="s">
        <v>17</v>
      </c>
      <c r="M65" s="4">
        <v>34</v>
      </c>
      <c r="N65" s="4" t="s">
        <v>17</v>
      </c>
      <c r="O65" s="4" t="str">
        <f t="shared" si="1"/>
        <v>SI(G28-H28=-66;34;</v>
      </c>
    </row>
    <row r="66" spans="1:15" ht="14.4" x14ac:dyDescent="0.3">
      <c r="A66" s="4"/>
      <c r="B66" s="4" t="s">
        <v>16</v>
      </c>
      <c r="C66" s="4">
        <v>67</v>
      </c>
      <c r="D66" s="4" t="s">
        <v>17</v>
      </c>
      <c r="E66" s="4">
        <v>33</v>
      </c>
      <c r="F66" s="4" t="s">
        <v>17</v>
      </c>
      <c r="G66" s="4" t="str">
        <f t="shared" si="0"/>
        <v>SI(G28-H28=67;33;</v>
      </c>
      <c r="H66" s="4"/>
      <c r="I66" s="4" t="s">
        <v>16</v>
      </c>
      <c r="J66" s="4" t="s">
        <v>19</v>
      </c>
      <c r="K66" s="4">
        <v>67</v>
      </c>
      <c r="L66" s="4" t="s">
        <v>17</v>
      </c>
      <c r="M66" s="4">
        <v>33</v>
      </c>
      <c r="N66" s="4" t="s">
        <v>17</v>
      </c>
      <c r="O66" s="4" t="str">
        <f t="shared" si="1"/>
        <v>SI(G28-H28=-67;33;</v>
      </c>
    </row>
    <row r="67" spans="1:15" ht="14.4" x14ac:dyDescent="0.3">
      <c r="A67" s="4"/>
      <c r="B67" s="4" t="s">
        <v>16</v>
      </c>
      <c r="C67" s="4">
        <v>68</v>
      </c>
      <c r="D67" s="4" t="s">
        <v>17</v>
      </c>
      <c r="E67" s="4">
        <v>32</v>
      </c>
      <c r="F67" s="4" t="s">
        <v>17</v>
      </c>
      <c r="G67" s="4" t="str">
        <f t="shared" si="0"/>
        <v>SI(G28-H28=68;32;</v>
      </c>
      <c r="H67" s="4"/>
      <c r="I67" s="4" t="s">
        <v>16</v>
      </c>
      <c r="J67" s="4" t="s">
        <v>19</v>
      </c>
      <c r="K67" s="4">
        <v>68</v>
      </c>
      <c r="L67" s="4" t="s">
        <v>17</v>
      </c>
      <c r="M67" s="4">
        <v>32</v>
      </c>
      <c r="N67" s="4" t="s">
        <v>17</v>
      </c>
      <c r="O67" s="4" t="str">
        <f t="shared" si="1"/>
        <v>SI(G28-H28=-68;32;</v>
      </c>
    </row>
    <row r="68" spans="1:15" ht="14.4" x14ac:dyDescent="0.3">
      <c r="A68" s="4"/>
      <c r="B68" s="4" t="s">
        <v>16</v>
      </c>
      <c r="C68" s="4">
        <v>69</v>
      </c>
      <c r="D68" s="4" t="s">
        <v>17</v>
      </c>
      <c r="E68" s="4">
        <v>31</v>
      </c>
      <c r="F68" s="4" t="s">
        <v>17</v>
      </c>
      <c r="G68" s="4" t="str">
        <f t="shared" si="0"/>
        <v>SI(G28-H28=69;31;</v>
      </c>
      <c r="H68" s="4"/>
      <c r="I68" s="4" t="s">
        <v>16</v>
      </c>
      <c r="J68" s="4" t="s">
        <v>19</v>
      </c>
      <c r="K68" s="4">
        <v>69</v>
      </c>
      <c r="L68" s="4" t="s">
        <v>17</v>
      </c>
      <c r="M68" s="4">
        <v>31</v>
      </c>
      <c r="N68" s="4" t="s">
        <v>17</v>
      </c>
      <c r="O68" s="4" t="str">
        <f t="shared" si="1"/>
        <v>SI(G28-H28=-69;31;</v>
      </c>
    </row>
    <row r="69" spans="1:15" ht="14.4" x14ac:dyDescent="0.3">
      <c r="A69" s="4"/>
      <c r="B69" s="4" t="s">
        <v>16</v>
      </c>
      <c r="C69" s="4">
        <v>70</v>
      </c>
      <c r="D69" s="4" t="s">
        <v>17</v>
      </c>
      <c r="E69" s="4">
        <v>30</v>
      </c>
      <c r="F69" s="4" t="s">
        <v>17</v>
      </c>
      <c r="G69" s="4" t="str">
        <f t="shared" si="0"/>
        <v>SI(G28-H28=70;30;</v>
      </c>
      <c r="H69" s="4"/>
      <c r="I69" s="4" t="s">
        <v>16</v>
      </c>
      <c r="J69" s="4" t="s">
        <v>19</v>
      </c>
      <c r="K69" s="4">
        <v>70</v>
      </c>
      <c r="L69" s="4" t="s">
        <v>17</v>
      </c>
      <c r="M69" s="4">
        <v>30</v>
      </c>
      <c r="N69" s="4" t="s">
        <v>17</v>
      </c>
      <c r="O69" s="4" t="str">
        <f t="shared" si="1"/>
        <v>SI(G28-H28=-70;30;</v>
      </c>
    </row>
    <row r="70" spans="1:15" ht="14.4" x14ac:dyDescent="0.3">
      <c r="A70" s="4"/>
      <c r="B70" s="4" t="s">
        <v>16</v>
      </c>
      <c r="C70" s="4">
        <v>71</v>
      </c>
      <c r="D70" s="4" t="s">
        <v>17</v>
      </c>
      <c r="E70" s="4">
        <v>29</v>
      </c>
      <c r="F70" s="4" t="s">
        <v>17</v>
      </c>
      <c r="G70" s="4" t="str">
        <f t="shared" si="0"/>
        <v>SI(G28-H28=71;29;</v>
      </c>
      <c r="H70" s="4"/>
      <c r="I70" s="4" t="s">
        <v>16</v>
      </c>
      <c r="J70" s="4" t="s">
        <v>19</v>
      </c>
      <c r="K70" s="4">
        <v>71</v>
      </c>
      <c r="L70" s="4" t="s">
        <v>17</v>
      </c>
      <c r="M70" s="4">
        <v>29</v>
      </c>
      <c r="N70" s="4" t="s">
        <v>17</v>
      </c>
      <c r="O70" s="4" t="str">
        <f t="shared" si="1"/>
        <v>SI(G28-H28=-71;29;</v>
      </c>
    </row>
    <row r="71" spans="1:15" ht="14.4" x14ac:dyDescent="0.3">
      <c r="A71" s="4"/>
      <c r="B71" s="4" t="s">
        <v>16</v>
      </c>
      <c r="C71" s="4">
        <v>72</v>
      </c>
      <c r="D71" s="4" t="s">
        <v>17</v>
      </c>
      <c r="E71" s="4">
        <v>28</v>
      </c>
      <c r="F71" s="4" t="s">
        <v>17</v>
      </c>
      <c r="G71" s="4" t="str">
        <f t="shared" si="0"/>
        <v>SI(G28-H28=72;28;</v>
      </c>
      <c r="H71" s="4"/>
      <c r="I71" s="4" t="s">
        <v>16</v>
      </c>
      <c r="J71" s="4" t="s">
        <v>19</v>
      </c>
      <c r="K71" s="4">
        <v>72</v>
      </c>
      <c r="L71" s="4" t="s">
        <v>17</v>
      </c>
      <c r="M71" s="4">
        <v>28</v>
      </c>
      <c r="N71" s="4" t="s">
        <v>17</v>
      </c>
      <c r="O71" s="4" t="str">
        <f t="shared" si="1"/>
        <v>SI(G28-H28=-72;28;</v>
      </c>
    </row>
    <row r="72" spans="1:15" ht="14.4" x14ac:dyDescent="0.3">
      <c r="A72" s="4"/>
      <c r="B72" s="4" t="s">
        <v>16</v>
      </c>
      <c r="C72" s="4">
        <v>73</v>
      </c>
      <c r="D72" s="4" t="s">
        <v>17</v>
      </c>
      <c r="E72" s="4">
        <v>27</v>
      </c>
      <c r="F72" s="4" t="s">
        <v>17</v>
      </c>
      <c r="G72" s="4" t="str">
        <f t="shared" si="0"/>
        <v>SI(G28-H28=73;27;</v>
      </c>
      <c r="H72" s="4"/>
      <c r="I72" s="4" t="s">
        <v>16</v>
      </c>
      <c r="J72" s="4" t="s">
        <v>19</v>
      </c>
      <c r="K72" s="4">
        <v>73</v>
      </c>
      <c r="L72" s="4" t="s">
        <v>17</v>
      </c>
      <c r="M72" s="4">
        <v>27</v>
      </c>
      <c r="N72" s="4" t="s">
        <v>17</v>
      </c>
      <c r="O72" s="4" t="str">
        <f t="shared" si="1"/>
        <v>SI(G28-H28=-73;27;</v>
      </c>
    </row>
    <row r="73" spans="1:15" ht="14.4" x14ac:dyDescent="0.3">
      <c r="A73" s="4"/>
      <c r="B73" s="4" t="s">
        <v>16</v>
      </c>
      <c r="C73" s="4">
        <v>74</v>
      </c>
      <c r="D73" s="4" t="s">
        <v>17</v>
      </c>
      <c r="E73" s="4">
        <v>26</v>
      </c>
      <c r="F73" s="4" t="s">
        <v>17</v>
      </c>
      <c r="G73" s="4" t="str">
        <f t="shared" si="0"/>
        <v>SI(G28-H28=74;26;</v>
      </c>
      <c r="H73" s="4"/>
      <c r="I73" s="4" t="s">
        <v>16</v>
      </c>
      <c r="J73" s="4" t="s">
        <v>19</v>
      </c>
      <c r="K73" s="4">
        <v>74</v>
      </c>
      <c r="L73" s="4" t="s">
        <v>17</v>
      </c>
      <c r="M73" s="4">
        <v>26</v>
      </c>
      <c r="N73" s="4" t="s">
        <v>17</v>
      </c>
      <c r="O73" s="4" t="str">
        <f t="shared" si="1"/>
        <v>SI(G28-H28=-74;26;</v>
      </c>
    </row>
    <row r="74" spans="1:15" ht="14.4" x14ac:dyDescent="0.3">
      <c r="A74" s="4"/>
      <c r="B74" s="4" t="s">
        <v>16</v>
      </c>
      <c r="C74" s="4">
        <v>75</v>
      </c>
      <c r="D74" s="4" t="s">
        <v>17</v>
      </c>
      <c r="E74" s="4">
        <v>25</v>
      </c>
      <c r="F74" s="4" t="s">
        <v>17</v>
      </c>
      <c r="G74" s="4" t="str">
        <f t="shared" si="0"/>
        <v>SI(G28-H28=75;25;</v>
      </c>
      <c r="H74" s="4"/>
      <c r="I74" s="4" t="s">
        <v>16</v>
      </c>
      <c r="J74" s="4" t="s">
        <v>19</v>
      </c>
      <c r="K74" s="4">
        <v>75</v>
      </c>
      <c r="L74" s="4" t="s">
        <v>17</v>
      </c>
      <c r="M74" s="4">
        <v>25</v>
      </c>
      <c r="N74" s="4" t="s">
        <v>17</v>
      </c>
      <c r="O74" s="4" t="str">
        <f t="shared" si="1"/>
        <v>SI(G28-H28=-75;25;</v>
      </c>
    </row>
    <row r="75" spans="1:15" ht="14.4" x14ac:dyDescent="0.3">
      <c r="A75" s="4"/>
      <c r="B75" s="4" t="s">
        <v>16</v>
      </c>
      <c r="C75" s="4">
        <v>76</v>
      </c>
      <c r="D75" s="4" t="s">
        <v>17</v>
      </c>
      <c r="E75" s="4">
        <v>24</v>
      </c>
      <c r="F75" s="4" t="s">
        <v>17</v>
      </c>
      <c r="G75" s="4" t="str">
        <f t="shared" si="0"/>
        <v>SI(G28-H28=76;24;</v>
      </c>
      <c r="H75" s="4"/>
      <c r="I75" s="4" t="s">
        <v>16</v>
      </c>
      <c r="J75" s="4" t="s">
        <v>19</v>
      </c>
      <c r="K75" s="4">
        <v>76</v>
      </c>
      <c r="L75" s="4" t="s">
        <v>17</v>
      </c>
      <c r="M75" s="4">
        <v>24</v>
      </c>
      <c r="N75" s="4" t="s">
        <v>17</v>
      </c>
      <c r="O75" s="4" t="str">
        <f t="shared" si="1"/>
        <v>SI(G28-H28=-76;24;</v>
      </c>
    </row>
    <row r="76" spans="1:15" ht="14.4" x14ac:dyDescent="0.3">
      <c r="A76" s="4"/>
      <c r="B76" s="4" t="s">
        <v>16</v>
      </c>
      <c r="C76" s="4">
        <v>77</v>
      </c>
      <c r="D76" s="4" t="s">
        <v>17</v>
      </c>
      <c r="E76" s="4">
        <v>23</v>
      </c>
      <c r="F76" s="4" t="s">
        <v>17</v>
      </c>
      <c r="G76" s="4" t="str">
        <f t="shared" si="0"/>
        <v>SI(G28-H28=77;23;</v>
      </c>
      <c r="H76" s="4"/>
      <c r="I76" s="4" t="s">
        <v>16</v>
      </c>
      <c r="J76" s="4" t="s">
        <v>19</v>
      </c>
      <c r="K76" s="4">
        <v>77</v>
      </c>
      <c r="L76" s="4" t="s">
        <v>17</v>
      </c>
      <c r="M76" s="4">
        <v>23</v>
      </c>
      <c r="N76" s="4" t="s">
        <v>17</v>
      </c>
      <c r="O76" s="4" t="str">
        <f t="shared" si="1"/>
        <v>SI(G28-H28=-77;23;</v>
      </c>
    </row>
    <row r="77" spans="1:15" ht="14.4" x14ac:dyDescent="0.3">
      <c r="A77" s="4"/>
      <c r="B77" s="4" t="s">
        <v>16</v>
      </c>
      <c r="C77" s="4">
        <v>78</v>
      </c>
      <c r="D77" s="4" t="s">
        <v>17</v>
      </c>
      <c r="E77" s="4">
        <v>22</v>
      </c>
      <c r="F77" s="4" t="s">
        <v>17</v>
      </c>
      <c r="G77" s="4" t="str">
        <f t="shared" si="0"/>
        <v>SI(G28-H28=78;22;</v>
      </c>
      <c r="H77" s="4"/>
      <c r="I77" s="4" t="s">
        <v>16</v>
      </c>
      <c r="J77" s="4" t="s">
        <v>19</v>
      </c>
      <c r="K77" s="4">
        <v>78</v>
      </c>
      <c r="L77" s="4" t="s">
        <v>17</v>
      </c>
      <c r="M77" s="4">
        <v>22</v>
      </c>
      <c r="N77" s="4" t="s">
        <v>17</v>
      </c>
      <c r="O77" s="4" t="str">
        <f t="shared" si="1"/>
        <v>SI(G28-H28=-78;22;</v>
      </c>
    </row>
    <row r="78" spans="1:15" ht="14.4" x14ac:dyDescent="0.3">
      <c r="A78" s="4"/>
      <c r="B78" s="4" t="s">
        <v>16</v>
      </c>
      <c r="C78" s="4">
        <v>79</v>
      </c>
      <c r="D78" s="4" t="s">
        <v>17</v>
      </c>
      <c r="E78" s="4">
        <v>21</v>
      </c>
      <c r="F78" s="4" t="s">
        <v>17</v>
      </c>
      <c r="G78" s="4" t="str">
        <f t="shared" si="0"/>
        <v>SI(G28-H28=79;21;</v>
      </c>
      <c r="H78" s="4"/>
      <c r="I78" s="4" t="s">
        <v>16</v>
      </c>
      <c r="J78" s="4" t="s">
        <v>19</v>
      </c>
      <c r="K78" s="4">
        <v>79</v>
      </c>
      <c r="L78" s="4" t="s">
        <v>17</v>
      </c>
      <c r="M78" s="4">
        <v>21</v>
      </c>
      <c r="N78" s="4" t="s">
        <v>17</v>
      </c>
      <c r="O78" s="4" t="str">
        <f t="shared" si="1"/>
        <v>SI(G28-H28=-79;21;</v>
      </c>
    </row>
    <row r="79" spans="1:15" ht="14.4" x14ac:dyDescent="0.3">
      <c r="A79" s="4"/>
      <c r="B79" s="4" t="s">
        <v>16</v>
      </c>
      <c r="C79" s="4">
        <v>80</v>
      </c>
      <c r="D79" s="4" t="s">
        <v>17</v>
      </c>
      <c r="E79" s="4">
        <v>20</v>
      </c>
      <c r="F79" s="4" t="s">
        <v>17</v>
      </c>
      <c r="G79" s="4" t="str">
        <f t="shared" si="0"/>
        <v>SI(G28-H28=80;20;</v>
      </c>
      <c r="H79" s="4"/>
      <c r="I79" s="4" t="s">
        <v>16</v>
      </c>
      <c r="J79" s="4" t="s">
        <v>19</v>
      </c>
      <c r="K79" s="4">
        <v>80</v>
      </c>
      <c r="L79" s="4" t="s">
        <v>17</v>
      </c>
      <c r="M79" s="4">
        <v>20</v>
      </c>
      <c r="N79" s="4" t="s">
        <v>17</v>
      </c>
      <c r="O79" s="4" t="str">
        <f t="shared" si="1"/>
        <v>SI(G28-H28=-80;20;</v>
      </c>
    </row>
    <row r="80" spans="1:15" ht="14.4" x14ac:dyDescent="0.3">
      <c r="A80" s="4"/>
      <c r="B80" s="4" t="s">
        <v>16</v>
      </c>
      <c r="C80" s="4">
        <v>81</v>
      </c>
      <c r="D80" s="4" t="s">
        <v>17</v>
      </c>
      <c r="E80" s="4">
        <v>19</v>
      </c>
      <c r="F80" s="4" t="s">
        <v>17</v>
      </c>
      <c r="G80" s="4" t="str">
        <f t="shared" si="0"/>
        <v>SI(G28-H28=81;19;</v>
      </c>
      <c r="H80" s="4"/>
      <c r="I80" s="4" t="s">
        <v>16</v>
      </c>
      <c r="J80" s="4" t="s">
        <v>19</v>
      </c>
      <c r="K80" s="4">
        <v>81</v>
      </c>
      <c r="L80" s="4" t="s">
        <v>17</v>
      </c>
      <c r="M80" s="4">
        <v>19</v>
      </c>
      <c r="N80" s="4" t="s">
        <v>17</v>
      </c>
      <c r="O80" s="4" t="str">
        <f t="shared" si="1"/>
        <v>SI(G28-H28=-81;19;</v>
      </c>
    </row>
    <row r="81" spans="1:15" ht="14.4" x14ac:dyDescent="0.3">
      <c r="A81" s="4"/>
      <c r="B81" s="4" t="s">
        <v>16</v>
      </c>
      <c r="C81" s="4">
        <v>82</v>
      </c>
      <c r="D81" s="4" t="s">
        <v>17</v>
      </c>
      <c r="E81" s="4">
        <v>18</v>
      </c>
      <c r="F81" s="4" t="s">
        <v>17</v>
      </c>
      <c r="G81" s="4" t="str">
        <f t="shared" si="0"/>
        <v>SI(G28-H28=82;18;</v>
      </c>
      <c r="H81" s="4"/>
      <c r="I81" s="4" t="s">
        <v>16</v>
      </c>
      <c r="J81" s="4" t="s">
        <v>19</v>
      </c>
      <c r="K81" s="4">
        <v>82</v>
      </c>
      <c r="L81" s="4" t="s">
        <v>17</v>
      </c>
      <c r="M81" s="4">
        <v>18</v>
      </c>
      <c r="N81" s="4" t="s">
        <v>17</v>
      </c>
      <c r="O81" s="4" t="str">
        <f t="shared" si="1"/>
        <v>SI(G28-H28=-82;18;</v>
      </c>
    </row>
    <row r="82" spans="1:15" ht="14.4" x14ac:dyDescent="0.3">
      <c r="A82" s="4"/>
      <c r="B82" s="4" t="s">
        <v>16</v>
      </c>
      <c r="C82" s="4">
        <v>83</v>
      </c>
      <c r="D82" s="4" t="s">
        <v>17</v>
      </c>
      <c r="E82" s="4">
        <v>17</v>
      </c>
      <c r="F82" s="4" t="s">
        <v>17</v>
      </c>
      <c r="G82" s="4" t="str">
        <f t="shared" si="0"/>
        <v>SI(G28-H28=83;17;</v>
      </c>
      <c r="H82" s="4"/>
      <c r="I82" s="4" t="s">
        <v>16</v>
      </c>
      <c r="J82" s="4" t="s">
        <v>19</v>
      </c>
      <c r="K82" s="4">
        <v>83</v>
      </c>
      <c r="L82" s="4" t="s">
        <v>17</v>
      </c>
      <c r="M82" s="4">
        <v>17</v>
      </c>
      <c r="N82" s="4" t="s">
        <v>17</v>
      </c>
      <c r="O82" s="4" t="str">
        <f t="shared" si="1"/>
        <v>SI(G28-H28=-83;17;</v>
      </c>
    </row>
    <row r="83" spans="1:15" ht="14.4" x14ac:dyDescent="0.3">
      <c r="A83" s="4"/>
      <c r="B83" s="4" t="s">
        <v>16</v>
      </c>
      <c r="C83" s="4">
        <v>84</v>
      </c>
      <c r="D83" s="4" t="s">
        <v>17</v>
      </c>
      <c r="E83" s="4">
        <v>16</v>
      </c>
      <c r="F83" s="4" t="s">
        <v>17</v>
      </c>
      <c r="G83" s="4" t="str">
        <f t="shared" si="0"/>
        <v>SI(G28-H28=84;16;</v>
      </c>
      <c r="H83" s="4"/>
      <c r="I83" s="4" t="s">
        <v>16</v>
      </c>
      <c r="J83" s="4" t="s">
        <v>19</v>
      </c>
      <c r="K83" s="4">
        <v>84</v>
      </c>
      <c r="L83" s="4" t="s">
        <v>17</v>
      </c>
      <c r="M83" s="4">
        <v>16</v>
      </c>
      <c r="N83" s="4" t="s">
        <v>17</v>
      </c>
      <c r="O83" s="4" t="str">
        <f t="shared" si="1"/>
        <v>SI(G28-H28=-84;16;</v>
      </c>
    </row>
    <row r="84" spans="1:15" ht="14.4" x14ac:dyDescent="0.3">
      <c r="A84" s="4"/>
      <c r="B84" s="4" t="s">
        <v>16</v>
      </c>
      <c r="C84" s="4">
        <v>85</v>
      </c>
      <c r="D84" s="4" t="s">
        <v>17</v>
      </c>
      <c r="E84" s="4">
        <v>15</v>
      </c>
      <c r="F84" s="4" t="s">
        <v>17</v>
      </c>
      <c r="G84" s="4" t="str">
        <f t="shared" si="0"/>
        <v>SI(G28-H28=85;15;</v>
      </c>
      <c r="H84" s="4"/>
      <c r="I84" s="4" t="s">
        <v>16</v>
      </c>
      <c r="J84" s="4" t="s">
        <v>19</v>
      </c>
      <c r="K84" s="4">
        <v>85</v>
      </c>
      <c r="L84" s="4" t="s">
        <v>17</v>
      </c>
      <c r="M84" s="4">
        <v>15</v>
      </c>
      <c r="N84" s="4" t="s">
        <v>17</v>
      </c>
      <c r="O84" s="4" t="str">
        <f t="shared" si="1"/>
        <v>SI(G28-H28=-85;15;</v>
      </c>
    </row>
    <row r="85" spans="1:15" ht="14.4" x14ac:dyDescent="0.3">
      <c r="A85" s="4"/>
      <c r="B85" s="4" t="s">
        <v>16</v>
      </c>
      <c r="C85" s="4">
        <v>86</v>
      </c>
      <c r="D85" s="4" t="s">
        <v>17</v>
      </c>
      <c r="E85" s="4">
        <v>14</v>
      </c>
      <c r="F85" s="4" t="s">
        <v>17</v>
      </c>
      <c r="G85" s="4" t="str">
        <f t="shared" si="0"/>
        <v>SI(G28-H28=86;14;</v>
      </c>
      <c r="H85" s="4"/>
      <c r="I85" s="4" t="s">
        <v>16</v>
      </c>
      <c r="J85" s="4" t="s">
        <v>19</v>
      </c>
      <c r="K85" s="4">
        <v>86</v>
      </c>
      <c r="L85" s="4" t="s">
        <v>17</v>
      </c>
      <c r="M85" s="4">
        <v>14</v>
      </c>
      <c r="N85" s="4" t="s">
        <v>17</v>
      </c>
      <c r="O85" s="4" t="str">
        <f t="shared" si="1"/>
        <v>SI(G28-H28=-86;14;</v>
      </c>
    </row>
    <row r="86" spans="1:15" ht="14.4" x14ac:dyDescent="0.3">
      <c r="A86" s="4"/>
      <c r="B86" s="4" t="s">
        <v>16</v>
      </c>
      <c r="C86" s="4">
        <v>87</v>
      </c>
      <c r="D86" s="4" t="s">
        <v>17</v>
      </c>
      <c r="E86" s="4">
        <v>13</v>
      </c>
      <c r="F86" s="4" t="s">
        <v>17</v>
      </c>
      <c r="G86" s="4" t="str">
        <f t="shared" si="0"/>
        <v>SI(G28-H28=87;13;</v>
      </c>
      <c r="H86" s="4"/>
      <c r="I86" s="4" t="s">
        <v>16</v>
      </c>
      <c r="J86" s="4" t="s">
        <v>19</v>
      </c>
      <c r="K86" s="4">
        <v>87</v>
      </c>
      <c r="L86" s="4" t="s">
        <v>17</v>
      </c>
      <c r="M86" s="4">
        <v>13</v>
      </c>
      <c r="N86" s="4" t="s">
        <v>17</v>
      </c>
      <c r="O86" s="4" t="str">
        <f t="shared" si="1"/>
        <v>SI(G28-H28=-87;13;</v>
      </c>
    </row>
    <row r="87" spans="1:15" ht="14.4" x14ac:dyDescent="0.3">
      <c r="A87" s="4"/>
      <c r="B87" s="4" t="s">
        <v>16</v>
      </c>
      <c r="C87" s="4">
        <v>88</v>
      </c>
      <c r="D87" s="4" t="s">
        <v>17</v>
      </c>
      <c r="E87" s="4">
        <v>12</v>
      </c>
      <c r="F87" s="4" t="s">
        <v>17</v>
      </c>
      <c r="G87" s="4" t="str">
        <f t="shared" si="0"/>
        <v>SI(G28-H28=88;12;</v>
      </c>
      <c r="H87" s="4"/>
      <c r="I87" s="4" t="s">
        <v>16</v>
      </c>
      <c r="J87" s="4" t="s">
        <v>19</v>
      </c>
      <c r="K87" s="4">
        <v>88</v>
      </c>
      <c r="L87" s="4" t="s">
        <v>17</v>
      </c>
      <c r="M87" s="4">
        <v>12</v>
      </c>
      <c r="N87" s="4" t="s">
        <v>17</v>
      </c>
      <c r="O87" s="4" t="str">
        <f t="shared" si="1"/>
        <v>SI(G28-H28=-88;12;</v>
      </c>
    </row>
    <row r="88" spans="1:15" ht="14.4" x14ac:dyDescent="0.3">
      <c r="A88" s="4"/>
      <c r="B88" s="4" t="s">
        <v>16</v>
      </c>
      <c r="C88" s="4">
        <v>89</v>
      </c>
      <c r="D88" s="4" t="s">
        <v>17</v>
      </c>
      <c r="E88" s="4">
        <v>11</v>
      </c>
      <c r="F88" s="4" t="s">
        <v>17</v>
      </c>
      <c r="G88" s="4" t="str">
        <f t="shared" si="0"/>
        <v>SI(G28-H28=89;11;</v>
      </c>
      <c r="H88" s="4"/>
      <c r="I88" s="4" t="s">
        <v>16</v>
      </c>
      <c r="J88" s="4" t="s">
        <v>19</v>
      </c>
      <c r="K88" s="4">
        <v>89</v>
      </c>
      <c r="L88" s="4" t="s">
        <v>17</v>
      </c>
      <c r="M88" s="4">
        <v>11</v>
      </c>
      <c r="N88" s="4" t="s">
        <v>17</v>
      </c>
      <c r="O88" s="4" t="str">
        <f t="shared" si="1"/>
        <v>SI(G28-H28=-89;11;</v>
      </c>
    </row>
    <row r="89" spans="1:15" ht="14.4" x14ac:dyDescent="0.3">
      <c r="A89" s="4"/>
      <c r="B89" s="4" t="s">
        <v>16</v>
      </c>
      <c r="C89" s="4">
        <v>90</v>
      </c>
      <c r="D89" s="4" t="s">
        <v>17</v>
      </c>
      <c r="E89" s="4">
        <v>10</v>
      </c>
      <c r="F89" s="4" t="s">
        <v>17</v>
      </c>
      <c r="G89" s="4" t="str">
        <f t="shared" si="0"/>
        <v>SI(G28-H28=90;10;</v>
      </c>
      <c r="H89" s="4"/>
      <c r="I89" s="4" t="s">
        <v>16</v>
      </c>
      <c r="J89" s="4" t="s">
        <v>19</v>
      </c>
      <c r="K89" s="4">
        <v>90</v>
      </c>
      <c r="L89" s="4" t="s">
        <v>17</v>
      </c>
      <c r="M89" s="4">
        <v>10</v>
      </c>
      <c r="N89" s="4" t="s">
        <v>17</v>
      </c>
      <c r="O89" s="4" t="str">
        <f t="shared" si="1"/>
        <v>SI(G28-H28=-90;10;</v>
      </c>
    </row>
    <row r="90" spans="1:15" ht="14.4" x14ac:dyDescent="0.3">
      <c r="A90" s="4"/>
      <c r="B90" s="4" t="s">
        <v>16</v>
      </c>
      <c r="C90" s="4">
        <v>91</v>
      </c>
      <c r="D90" s="4" t="s">
        <v>17</v>
      </c>
      <c r="E90" s="4">
        <v>9</v>
      </c>
      <c r="F90" s="4" t="s">
        <v>17</v>
      </c>
      <c r="G90" s="4" t="str">
        <f t="shared" si="0"/>
        <v>SI(G28-H28=91;9;</v>
      </c>
      <c r="H90" s="4"/>
      <c r="I90" s="4" t="s">
        <v>16</v>
      </c>
      <c r="J90" s="4" t="s">
        <v>19</v>
      </c>
      <c r="K90" s="4">
        <v>91</v>
      </c>
      <c r="L90" s="4" t="s">
        <v>17</v>
      </c>
      <c r="M90" s="4">
        <v>9</v>
      </c>
      <c r="N90" s="4" t="s">
        <v>17</v>
      </c>
      <c r="O90" s="4" t="str">
        <f t="shared" si="1"/>
        <v>SI(G28-H28=-91;9;</v>
      </c>
    </row>
    <row r="91" spans="1:15" ht="14.4" x14ac:dyDescent="0.3">
      <c r="A91" s="4"/>
      <c r="B91" s="4" t="s">
        <v>16</v>
      </c>
      <c r="C91" s="4">
        <v>92</v>
      </c>
      <c r="D91" s="4" t="s">
        <v>17</v>
      </c>
      <c r="E91" s="4">
        <v>8</v>
      </c>
      <c r="F91" s="4" t="s">
        <v>17</v>
      </c>
      <c r="G91" s="4" t="str">
        <f t="shared" si="0"/>
        <v>SI(G28-H28=92;8;</v>
      </c>
      <c r="H91" s="4"/>
      <c r="I91" s="4" t="s">
        <v>16</v>
      </c>
      <c r="J91" s="4" t="s">
        <v>19</v>
      </c>
      <c r="K91" s="4">
        <v>92</v>
      </c>
      <c r="L91" s="4" t="s">
        <v>17</v>
      </c>
      <c r="M91" s="4">
        <v>8</v>
      </c>
      <c r="N91" s="4" t="s">
        <v>17</v>
      </c>
      <c r="O91" s="4" t="str">
        <f t="shared" si="1"/>
        <v>SI(G28-H28=-92;8;</v>
      </c>
    </row>
    <row r="92" spans="1:15" ht="14.4" x14ac:dyDescent="0.3">
      <c r="A92" s="4"/>
      <c r="B92" s="4" t="s">
        <v>16</v>
      </c>
      <c r="C92" s="4">
        <v>93</v>
      </c>
      <c r="D92" s="4" t="s">
        <v>17</v>
      </c>
      <c r="E92" s="4">
        <v>7</v>
      </c>
      <c r="F92" s="4" t="s">
        <v>17</v>
      </c>
      <c r="G92" s="4" t="str">
        <f t="shared" si="0"/>
        <v>SI(G28-H28=93;7;</v>
      </c>
      <c r="H92" s="4"/>
      <c r="I92" s="4" t="s">
        <v>16</v>
      </c>
      <c r="J92" s="4" t="s">
        <v>19</v>
      </c>
      <c r="K92" s="4">
        <v>93</v>
      </c>
      <c r="L92" s="4" t="s">
        <v>17</v>
      </c>
      <c r="M92" s="4">
        <v>7</v>
      </c>
      <c r="N92" s="4" t="s">
        <v>17</v>
      </c>
      <c r="O92" s="4" t="str">
        <f t="shared" si="1"/>
        <v>SI(G28-H28=-93;7;</v>
      </c>
    </row>
    <row r="93" spans="1:15" ht="14.4" x14ac:dyDescent="0.3">
      <c r="A93" s="4"/>
      <c r="B93" s="4" t="s">
        <v>16</v>
      </c>
      <c r="C93" s="4">
        <v>94</v>
      </c>
      <c r="D93" s="4" t="s">
        <v>17</v>
      </c>
      <c r="E93" s="4">
        <v>6</v>
      </c>
      <c r="F93" s="4" t="s">
        <v>17</v>
      </c>
      <c r="G93" s="4" t="str">
        <f t="shared" si="0"/>
        <v>SI(G28-H28=94;6;</v>
      </c>
      <c r="H93" s="4"/>
      <c r="I93" s="4" t="s">
        <v>16</v>
      </c>
      <c r="J93" s="4" t="s">
        <v>19</v>
      </c>
      <c r="K93" s="4">
        <v>94</v>
      </c>
      <c r="L93" s="4" t="s">
        <v>17</v>
      </c>
      <c r="M93" s="4">
        <v>6</v>
      </c>
      <c r="N93" s="4" t="s">
        <v>17</v>
      </c>
      <c r="O93" s="4" t="str">
        <f t="shared" si="1"/>
        <v>SI(G28-H28=-94;6;</v>
      </c>
    </row>
    <row r="94" spans="1:15" ht="14.4" x14ac:dyDescent="0.3">
      <c r="A94" s="4"/>
      <c r="B94" s="4" t="s">
        <v>16</v>
      </c>
      <c r="C94" s="4">
        <v>95</v>
      </c>
      <c r="D94" s="4" t="s">
        <v>17</v>
      </c>
      <c r="E94" s="4">
        <v>5</v>
      </c>
      <c r="F94" s="4" t="s">
        <v>17</v>
      </c>
      <c r="G94" s="4" t="str">
        <f t="shared" si="0"/>
        <v>SI(G28-H28=95;5;</v>
      </c>
      <c r="H94" s="4"/>
      <c r="I94" s="4" t="s">
        <v>16</v>
      </c>
      <c r="J94" s="4" t="s">
        <v>19</v>
      </c>
      <c r="K94" s="4">
        <v>95</v>
      </c>
      <c r="L94" s="4" t="s">
        <v>17</v>
      </c>
      <c r="M94" s="4">
        <v>5</v>
      </c>
      <c r="N94" s="4" t="s">
        <v>17</v>
      </c>
      <c r="O94" s="4" t="str">
        <f t="shared" si="1"/>
        <v>SI(G28-H28=-95;5;</v>
      </c>
    </row>
    <row r="95" spans="1:15" ht="14.4" x14ac:dyDescent="0.3">
      <c r="A95" s="4"/>
      <c r="B95" s="4" t="s">
        <v>16</v>
      </c>
      <c r="C95" s="4">
        <v>96</v>
      </c>
      <c r="D95" s="4" t="s">
        <v>17</v>
      </c>
      <c r="E95" s="4">
        <v>4</v>
      </c>
      <c r="F95" s="4" t="s">
        <v>17</v>
      </c>
      <c r="G95" s="4" t="str">
        <f t="shared" si="0"/>
        <v>SI(G28-H28=96;4;</v>
      </c>
      <c r="H95" s="4"/>
      <c r="I95" s="4" t="s">
        <v>16</v>
      </c>
      <c r="J95" s="4" t="s">
        <v>19</v>
      </c>
      <c r="K95" s="4">
        <v>96</v>
      </c>
      <c r="L95" s="4" t="s">
        <v>17</v>
      </c>
      <c r="M95" s="4">
        <v>4</v>
      </c>
      <c r="N95" s="4" t="s">
        <v>17</v>
      </c>
      <c r="O95" s="4" t="str">
        <f t="shared" si="1"/>
        <v>SI(G28-H28=-96;4;</v>
      </c>
    </row>
    <row r="96" spans="1:15" ht="14.4" x14ac:dyDescent="0.3">
      <c r="A96" s="4"/>
      <c r="B96" s="4" t="s">
        <v>16</v>
      </c>
      <c r="C96" s="4">
        <v>97</v>
      </c>
      <c r="D96" s="4" t="s">
        <v>17</v>
      </c>
      <c r="E96" s="4">
        <v>3</v>
      </c>
      <c r="F96" s="4" t="s">
        <v>17</v>
      </c>
      <c r="G96" s="4" t="str">
        <f t="shared" si="0"/>
        <v>SI(G28-H28=97;3;</v>
      </c>
      <c r="H96" s="4"/>
      <c r="I96" s="4" t="s">
        <v>16</v>
      </c>
      <c r="J96" s="4" t="s">
        <v>19</v>
      </c>
      <c r="K96" s="4">
        <v>97</v>
      </c>
      <c r="L96" s="4" t="s">
        <v>17</v>
      </c>
      <c r="M96" s="4">
        <v>3</v>
      </c>
      <c r="N96" s="4" t="s">
        <v>17</v>
      </c>
      <c r="O96" s="4" t="str">
        <f t="shared" si="1"/>
        <v>SI(G28-H28=-97;3;</v>
      </c>
    </row>
    <row r="97" spans="1:15" ht="14.4" x14ac:dyDescent="0.3">
      <c r="A97" s="4"/>
      <c r="B97" s="4" t="s">
        <v>16</v>
      </c>
      <c r="C97" s="4">
        <v>98</v>
      </c>
      <c r="D97" s="4" t="s">
        <v>17</v>
      </c>
      <c r="E97" s="4">
        <v>2</v>
      </c>
      <c r="F97" s="4" t="s">
        <v>17</v>
      </c>
      <c r="G97" s="4" t="str">
        <f t="shared" si="0"/>
        <v>SI(G28-H28=98;2;</v>
      </c>
      <c r="H97" s="4"/>
      <c r="I97" s="4" t="s">
        <v>16</v>
      </c>
      <c r="J97" s="4" t="s">
        <v>19</v>
      </c>
      <c r="K97" s="4">
        <v>98</v>
      </c>
      <c r="L97" s="4" t="s">
        <v>17</v>
      </c>
      <c r="M97" s="4">
        <v>2</v>
      </c>
      <c r="N97" s="4" t="s">
        <v>17</v>
      </c>
      <c r="O97" s="4" t="str">
        <f t="shared" si="1"/>
        <v>SI(G28-H28=-98;2;</v>
      </c>
    </row>
    <row r="98" spans="1:15" ht="14.4" x14ac:dyDescent="0.3">
      <c r="A98" s="4"/>
      <c r="B98" s="4" t="s">
        <v>16</v>
      </c>
      <c r="C98" s="4">
        <v>99</v>
      </c>
      <c r="D98" s="4" t="s">
        <v>17</v>
      </c>
      <c r="E98" s="4">
        <v>1</v>
      </c>
      <c r="F98" s="4" t="s">
        <v>17</v>
      </c>
      <c r="G98" s="4" t="str">
        <f t="shared" si="0"/>
        <v>SI(G28-H28=99;1;</v>
      </c>
      <c r="H98" s="4"/>
      <c r="I98" s="4" t="s">
        <v>16</v>
      </c>
      <c r="J98" s="4" t="s">
        <v>19</v>
      </c>
      <c r="K98" s="4">
        <v>99</v>
      </c>
      <c r="L98" s="4" t="s">
        <v>17</v>
      </c>
      <c r="M98" s="4">
        <v>1</v>
      </c>
      <c r="N98" s="4" t="s">
        <v>17</v>
      </c>
      <c r="O98" s="4" t="str">
        <f t="shared" si="1"/>
        <v>SI(G28-H28=-99;1;</v>
      </c>
    </row>
    <row r="99" spans="1:15" ht="14.4" x14ac:dyDescent="0.3">
      <c r="A99" s="4"/>
      <c r="B99" s="4" t="s">
        <v>16</v>
      </c>
      <c r="C99" s="4">
        <v>100</v>
      </c>
      <c r="D99" s="4" t="s">
        <v>17</v>
      </c>
      <c r="E99" s="4">
        <v>0</v>
      </c>
      <c r="F99" s="4" t="s">
        <v>17</v>
      </c>
      <c r="G99" s="4" t="str">
        <f t="shared" si="0"/>
        <v>SI(G28-H28=100;0;</v>
      </c>
      <c r="H99" s="4"/>
      <c r="I99" s="4" t="s">
        <v>16</v>
      </c>
      <c r="J99" s="4" t="s">
        <v>19</v>
      </c>
      <c r="K99" s="4">
        <v>100</v>
      </c>
      <c r="L99" s="4" t="s">
        <v>17</v>
      </c>
      <c r="M99" s="4">
        <v>0</v>
      </c>
      <c r="N99" s="4" t="s">
        <v>17</v>
      </c>
      <c r="O99" s="4" t="str">
        <f t="shared" si="1"/>
        <v>SI(G28-H28=-100;0;</v>
      </c>
    </row>
    <row r="100" spans="1:15" ht="14.4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4.44140625" defaultRowHeight="15" customHeight="1" x14ac:dyDescent="0.3"/>
  <cols>
    <col min="1" max="11" width="10.6640625" customWidth="1"/>
  </cols>
  <sheetData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"/>
  <sheetViews>
    <sheetView workbookViewId="0"/>
  </sheetViews>
  <sheetFormatPr baseColWidth="10" defaultColWidth="14.44140625" defaultRowHeight="15" customHeight="1" x14ac:dyDescent="0.3"/>
  <cols>
    <col min="1" max="1" width="29.88671875" customWidth="1"/>
    <col min="2" max="6" width="11.44140625" customWidth="1"/>
    <col min="7" max="11" width="10.6640625" customWidth="1"/>
  </cols>
  <sheetData>
    <row r="1" spans="1:2" ht="24.75" customHeight="1" x14ac:dyDescent="0.3">
      <c r="A1" s="5" t="s">
        <v>20</v>
      </c>
      <c r="B1" s="1"/>
    </row>
    <row r="2" spans="1:2" ht="24.75" customHeight="1" x14ac:dyDescent="0.3">
      <c r="A2" s="5" t="s">
        <v>21</v>
      </c>
      <c r="B2" s="1"/>
    </row>
    <row r="3" spans="1:2" ht="24.75" customHeight="1" x14ac:dyDescent="0.3">
      <c r="A3" s="5" t="s">
        <v>22</v>
      </c>
      <c r="B3" s="6" t="s">
        <v>23</v>
      </c>
    </row>
    <row r="4" spans="1:2" ht="24.75" customHeight="1" x14ac:dyDescent="0.3">
      <c r="A4" s="5" t="s">
        <v>24</v>
      </c>
      <c r="B4" s="1"/>
    </row>
    <row r="5" spans="1:2" ht="24.75" customHeight="1" x14ac:dyDescent="0.3">
      <c r="A5" s="5" t="s">
        <v>25</v>
      </c>
      <c r="B5" s="1"/>
    </row>
    <row r="6" spans="1:2" ht="24.75" customHeight="1" x14ac:dyDescent="0.3">
      <c r="A6" s="5" t="s">
        <v>26</v>
      </c>
      <c r="B6" s="1"/>
    </row>
    <row r="7" spans="1:2" ht="24.75" customHeight="1" x14ac:dyDescent="0.3">
      <c r="A7" s="5" t="s">
        <v>27</v>
      </c>
      <c r="B7" s="1"/>
    </row>
    <row r="8" spans="1:2" ht="24.75" customHeight="1" x14ac:dyDescent="0.3">
      <c r="A8" s="5" t="s">
        <v>28</v>
      </c>
      <c r="B8" s="1"/>
    </row>
    <row r="9" spans="1:2" ht="24.75" customHeight="1" x14ac:dyDescent="0.3">
      <c r="A9" s="5" t="s">
        <v>29</v>
      </c>
      <c r="B9" s="1"/>
    </row>
    <row r="10" spans="1:2" ht="24.75" customHeight="1" x14ac:dyDescent="0.3">
      <c r="A10" s="5" t="s">
        <v>30</v>
      </c>
      <c r="B10" s="1"/>
    </row>
    <row r="11" spans="1:2" ht="24.75" customHeight="1" x14ac:dyDescent="0.3">
      <c r="A11" s="5" t="s">
        <v>31</v>
      </c>
      <c r="B11" s="1"/>
    </row>
    <row r="12" spans="1:2" ht="24.75" customHeight="1" x14ac:dyDescent="0.3">
      <c r="A12" s="5" t="s">
        <v>32</v>
      </c>
      <c r="B12" s="1"/>
    </row>
    <row r="13" spans="1:2" ht="24.75" customHeight="1" x14ac:dyDescent="0.3">
      <c r="A13" s="5" t="s">
        <v>33</v>
      </c>
      <c r="B13" s="6" t="s">
        <v>23</v>
      </c>
    </row>
    <row r="14" spans="1:2" ht="24.75" customHeight="1" x14ac:dyDescent="0.3">
      <c r="A14" s="5" t="s">
        <v>34</v>
      </c>
      <c r="B14" s="6" t="s">
        <v>23</v>
      </c>
    </row>
    <row r="15" spans="1:2" ht="24.75" customHeight="1" x14ac:dyDescent="0.3">
      <c r="A15" s="5" t="s">
        <v>35</v>
      </c>
      <c r="B15" s="1"/>
    </row>
    <row r="16" spans="1:2" ht="24.75" customHeight="1" x14ac:dyDescent="0.3">
      <c r="A16" s="5" t="s">
        <v>36</v>
      </c>
      <c r="B16" s="1"/>
    </row>
    <row r="17" spans="1:2" ht="24.75" customHeight="1" x14ac:dyDescent="0.3">
      <c r="A17" s="5" t="s">
        <v>37</v>
      </c>
      <c r="B17" s="6" t="s">
        <v>23</v>
      </c>
    </row>
    <row r="18" spans="1:2" ht="24.75" customHeight="1" x14ac:dyDescent="0.3">
      <c r="A18" s="5" t="s">
        <v>38</v>
      </c>
      <c r="B18" s="1"/>
    </row>
    <row r="19" spans="1:2" ht="24.75" customHeight="1" x14ac:dyDescent="0.3">
      <c r="A19" s="5" t="s">
        <v>39</v>
      </c>
      <c r="B19" s="1"/>
    </row>
    <row r="20" spans="1:2" ht="24.75" customHeight="1" x14ac:dyDescent="0.3">
      <c r="A20" s="5" t="s">
        <v>40</v>
      </c>
      <c r="B20" s="6" t="s">
        <v>23</v>
      </c>
    </row>
    <row r="21" spans="1:2" ht="24.75" customHeight="1" x14ac:dyDescent="0.3">
      <c r="A21" s="5" t="s">
        <v>41</v>
      </c>
      <c r="B21" s="5"/>
    </row>
    <row r="22" spans="1:2" ht="24.75" customHeight="1" x14ac:dyDescent="0.3">
      <c r="A22" s="5" t="s">
        <v>42</v>
      </c>
      <c r="B22" s="1"/>
    </row>
    <row r="23" spans="1:2" ht="24.75" customHeight="1" x14ac:dyDescent="0.3">
      <c r="A23" s="5" t="s">
        <v>43</v>
      </c>
      <c r="B23" s="6" t="s">
        <v>23</v>
      </c>
    </row>
    <row r="24" spans="1:2" ht="24.75" customHeight="1" x14ac:dyDescent="0.3">
      <c r="A24" s="5" t="s">
        <v>44</v>
      </c>
      <c r="B24" s="1"/>
    </row>
    <row r="25" spans="1:2" ht="24.75" customHeight="1" x14ac:dyDescent="0.3">
      <c r="A25" s="5" t="s">
        <v>45</v>
      </c>
      <c r="B25" s="6" t="s">
        <v>23</v>
      </c>
    </row>
    <row r="26" spans="1:2" ht="24.75" customHeight="1" x14ac:dyDescent="0.3">
      <c r="B26" s="1"/>
    </row>
    <row r="27" spans="1:2" ht="24.75" customHeight="1" x14ac:dyDescent="0.3">
      <c r="B27" s="1"/>
    </row>
    <row r="28" spans="1:2" ht="24.75" customHeight="1" x14ac:dyDescent="0.3">
      <c r="B28" s="1"/>
    </row>
    <row r="29" spans="1:2" ht="24.75" customHeight="1" x14ac:dyDescent="0.3">
      <c r="B29" s="1"/>
    </row>
    <row r="30" spans="1:2" ht="24.75" customHeight="1" x14ac:dyDescent="0.3">
      <c r="B30" s="1"/>
    </row>
    <row r="31" spans="1:2" ht="24.75" customHeight="1" x14ac:dyDescent="0.3">
      <c r="B31" s="1"/>
    </row>
    <row r="32" spans="1:2" ht="24.75" customHeight="1" x14ac:dyDescent="0.3">
      <c r="B32" s="1"/>
    </row>
    <row r="33" spans="2:2" ht="24.75" customHeight="1" x14ac:dyDescent="0.3">
      <c r="B33" s="1"/>
    </row>
    <row r="34" spans="2:2" ht="24.75" customHeight="1" x14ac:dyDescent="0.3">
      <c r="B34" s="1"/>
    </row>
    <row r="35" spans="2:2" ht="24.75" customHeight="1" x14ac:dyDescent="0.3">
      <c r="B35" s="1"/>
    </row>
    <row r="36" spans="2:2" ht="24.75" customHeight="1" x14ac:dyDescent="0.3">
      <c r="B36" s="1"/>
    </row>
    <row r="37" spans="2:2" ht="24.75" customHeight="1" x14ac:dyDescent="0.3">
      <c r="B37" s="1"/>
    </row>
    <row r="38" spans="2:2" ht="24.75" customHeight="1" x14ac:dyDescent="0.3">
      <c r="B38" s="1"/>
    </row>
    <row r="39" spans="2:2" ht="24.75" customHeight="1" x14ac:dyDescent="0.3">
      <c r="B39" s="1"/>
    </row>
    <row r="40" spans="2:2" ht="24.75" customHeight="1" x14ac:dyDescent="0.3">
      <c r="B40" s="1"/>
    </row>
    <row r="41" spans="2:2" ht="24.75" customHeight="1" x14ac:dyDescent="0.3">
      <c r="B41" s="1"/>
    </row>
    <row r="42" spans="2:2" ht="24.75" customHeight="1" x14ac:dyDescent="0.3">
      <c r="B42" s="1"/>
    </row>
    <row r="43" spans="2:2" ht="24.75" customHeight="1" x14ac:dyDescent="0.3">
      <c r="B43" s="1"/>
    </row>
    <row r="44" spans="2:2" ht="24.75" customHeight="1" x14ac:dyDescent="0.3">
      <c r="B44" s="1"/>
    </row>
    <row r="45" spans="2:2" ht="24.75" customHeight="1" x14ac:dyDescent="0.3">
      <c r="B45" s="1"/>
    </row>
    <row r="46" spans="2:2" ht="24.75" customHeight="1" x14ac:dyDescent="0.3">
      <c r="B46" s="1"/>
    </row>
    <row r="47" spans="2:2" ht="24.75" customHeight="1" x14ac:dyDescent="0.3">
      <c r="B47" s="1"/>
    </row>
    <row r="48" spans="2:2" ht="24.75" customHeight="1" x14ac:dyDescent="0.3">
      <c r="B48" s="1"/>
    </row>
    <row r="49" spans="2:2" ht="24.75" customHeight="1" x14ac:dyDescent="0.3">
      <c r="B49" s="1"/>
    </row>
    <row r="50" spans="2:2" ht="24.75" customHeight="1" x14ac:dyDescent="0.3">
      <c r="B50" s="1"/>
    </row>
    <row r="51" spans="2:2" ht="24.75" customHeight="1" x14ac:dyDescent="0.3">
      <c r="B51" s="1"/>
    </row>
    <row r="52" spans="2:2" ht="24.75" customHeight="1" x14ac:dyDescent="0.3">
      <c r="B52" s="1"/>
    </row>
    <row r="53" spans="2:2" ht="24.75" customHeight="1" x14ac:dyDescent="0.3">
      <c r="B53" s="1"/>
    </row>
    <row r="54" spans="2:2" ht="24.75" customHeight="1" x14ac:dyDescent="0.3">
      <c r="B54" s="1"/>
    </row>
    <row r="55" spans="2:2" ht="24.75" customHeight="1" x14ac:dyDescent="0.3">
      <c r="B55" s="1"/>
    </row>
    <row r="56" spans="2:2" ht="24.75" customHeight="1" x14ac:dyDescent="0.3">
      <c r="B56" s="1"/>
    </row>
    <row r="57" spans="2:2" ht="24.75" customHeight="1" x14ac:dyDescent="0.3">
      <c r="B57" s="1"/>
    </row>
    <row r="58" spans="2:2" ht="24.75" customHeight="1" x14ac:dyDescent="0.3">
      <c r="B58" s="1"/>
    </row>
    <row r="59" spans="2:2" ht="24.75" customHeight="1" x14ac:dyDescent="0.3">
      <c r="B59" s="1"/>
    </row>
    <row r="60" spans="2:2" ht="24.75" customHeight="1" x14ac:dyDescent="0.3">
      <c r="B60" s="1"/>
    </row>
    <row r="61" spans="2:2" ht="24.75" customHeight="1" x14ac:dyDescent="0.3">
      <c r="B61" s="1"/>
    </row>
    <row r="62" spans="2:2" ht="24.75" customHeight="1" x14ac:dyDescent="0.3">
      <c r="B62" s="1"/>
    </row>
    <row r="63" spans="2:2" ht="24.75" customHeight="1" x14ac:dyDescent="0.3">
      <c r="B63" s="1"/>
    </row>
    <row r="64" spans="2:2" ht="24.75" customHeight="1" x14ac:dyDescent="0.3">
      <c r="B64" s="1"/>
    </row>
    <row r="65" spans="2:2" ht="24.75" customHeight="1" x14ac:dyDescent="0.3">
      <c r="B65" s="1"/>
    </row>
    <row r="66" spans="2:2" ht="24.75" customHeight="1" x14ac:dyDescent="0.3">
      <c r="B66" s="1"/>
    </row>
    <row r="67" spans="2:2" ht="24.75" customHeight="1" x14ac:dyDescent="0.3">
      <c r="B67" s="1"/>
    </row>
    <row r="68" spans="2:2" ht="24.75" customHeight="1" x14ac:dyDescent="0.3">
      <c r="B68" s="1"/>
    </row>
    <row r="69" spans="2:2" ht="24.75" customHeight="1" x14ac:dyDescent="0.3">
      <c r="B69" s="1"/>
    </row>
    <row r="70" spans="2:2" ht="24.75" customHeight="1" x14ac:dyDescent="0.3">
      <c r="B70" s="1"/>
    </row>
    <row r="71" spans="2:2" ht="24.75" customHeight="1" x14ac:dyDescent="0.3">
      <c r="B71" s="1"/>
    </row>
    <row r="72" spans="2:2" ht="24.75" customHeight="1" x14ac:dyDescent="0.3">
      <c r="B72" s="1"/>
    </row>
    <row r="73" spans="2:2" ht="24.75" customHeight="1" x14ac:dyDescent="0.3">
      <c r="B73" s="1"/>
    </row>
    <row r="74" spans="2:2" ht="24.75" customHeight="1" x14ac:dyDescent="0.3">
      <c r="B74" s="1"/>
    </row>
    <row r="75" spans="2:2" ht="24.75" customHeight="1" x14ac:dyDescent="0.3">
      <c r="B75" s="1"/>
    </row>
    <row r="76" spans="2:2" ht="24.75" customHeight="1" x14ac:dyDescent="0.3">
      <c r="B76" s="1"/>
    </row>
    <row r="77" spans="2:2" ht="24.75" customHeight="1" x14ac:dyDescent="0.3">
      <c r="B77" s="1"/>
    </row>
    <row r="78" spans="2:2" ht="24.75" customHeight="1" x14ac:dyDescent="0.3">
      <c r="B78" s="1"/>
    </row>
    <row r="79" spans="2:2" ht="24.75" customHeight="1" x14ac:dyDescent="0.3">
      <c r="B79" s="1"/>
    </row>
    <row r="80" spans="2:2" ht="24.75" customHeight="1" x14ac:dyDescent="0.3">
      <c r="B80" s="1"/>
    </row>
    <row r="81" spans="2:2" ht="24.75" customHeight="1" x14ac:dyDescent="0.3">
      <c r="B81" s="1"/>
    </row>
    <row r="82" spans="2:2" ht="24.75" customHeight="1" x14ac:dyDescent="0.3">
      <c r="B82" s="1"/>
    </row>
    <row r="83" spans="2:2" ht="24.75" customHeight="1" x14ac:dyDescent="0.3">
      <c r="B83" s="1"/>
    </row>
    <row r="84" spans="2:2" ht="24.75" customHeight="1" x14ac:dyDescent="0.3">
      <c r="B84" s="1"/>
    </row>
    <row r="85" spans="2:2" ht="24.75" customHeight="1" x14ac:dyDescent="0.3">
      <c r="B85" s="1"/>
    </row>
    <row r="86" spans="2:2" ht="24.75" customHeight="1" x14ac:dyDescent="0.3">
      <c r="B86" s="1"/>
    </row>
    <row r="87" spans="2:2" ht="24.75" customHeight="1" x14ac:dyDescent="0.3">
      <c r="B87" s="1"/>
    </row>
    <row r="88" spans="2:2" ht="24.75" customHeight="1" x14ac:dyDescent="0.3">
      <c r="B88" s="1"/>
    </row>
    <row r="89" spans="2:2" ht="24.75" customHeight="1" x14ac:dyDescent="0.3">
      <c r="B89" s="1"/>
    </row>
    <row r="90" spans="2:2" ht="24.75" customHeight="1" x14ac:dyDescent="0.3">
      <c r="B90" s="1"/>
    </row>
    <row r="91" spans="2:2" ht="24.75" customHeight="1" x14ac:dyDescent="0.3">
      <c r="B91" s="1"/>
    </row>
    <row r="92" spans="2:2" ht="24.75" customHeight="1" x14ac:dyDescent="0.3">
      <c r="B92" s="1"/>
    </row>
    <row r="93" spans="2:2" ht="24.75" customHeight="1" x14ac:dyDescent="0.3">
      <c r="B93" s="1"/>
    </row>
    <row r="94" spans="2:2" ht="24.75" customHeight="1" x14ac:dyDescent="0.3">
      <c r="B94" s="1"/>
    </row>
    <row r="95" spans="2:2" ht="24.75" customHeight="1" x14ac:dyDescent="0.3">
      <c r="B95" s="1"/>
    </row>
    <row r="96" spans="2:2" ht="24.75" customHeight="1" x14ac:dyDescent="0.3">
      <c r="B96" s="1"/>
    </row>
    <row r="97" spans="2:2" ht="24.75" customHeight="1" x14ac:dyDescent="0.3">
      <c r="B97" s="1"/>
    </row>
    <row r="98" spans="2:2" ht="24.75" customHeight="1" x14ac:dyDescent="0.3">
      <c r="B98" s="1"/>
    </row>
    <row r="99" spans="2:2" ht="24.75" customHeight="1" x14ac:dyDescent="0.3">
      <c r="B99" s="1"/>
    </row>
    <row r="100" spans="2:2" ht="24.75" customHeight="1" x14ac:dyDescent="0.3">
      <c r="B100" s="1"/>
    </row>
  </sheetData>
  <pageMargins left="0.7" right="0.7" top="0.75" bottom="0.75" header="0" footer="0"/>
  <pageSetup orientation="portrait"/>
</worksheet>
</file>

<file path=docMetadata/LabelInfo.xml><?xml version="1.0" encoding="utf-8"?>
<clbl:labelList xmlns:clbl="http://schemas.microsoft.com/office/2020/mipLabelMetadata">
  <clbl:label id="{d57455e9-c73f-45d7-ad9e-430426491df9}" enabled="0" method="" siteId="{d57455e9-c73f-45d7-ad9e-430426491df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FIFA WORLD CUP MEXICO 2026</vt:lpstr>
      <vt:lpstr>Hoja2</vt:lpstr>
      <vt:lpstr>Hoja3</vt:lpstr>
      <vt:lpstr>pagos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cfe</dc:creator>
  <cp:lastModifiedBy>DAVID LIMON PAVIA</cp:lastModifiedBy>
  <cp:lastPrinted>2016-06-02T15:31:02Z</cp:lastPrinted>
  <dcterms:created xsi:type="dcterms:W3CDTF">2016-05-30T16:01:39Z</dcterms:created>
  <dcterms:modified xsi:type="dcterms:W3CDTF">2026-06-14T18:23:27Z</dcterms:modified>
</cp:coreProperties>
</file>