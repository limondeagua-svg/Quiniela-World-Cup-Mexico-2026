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405" documentId="8_{B808BCDA-0D93-4F95-9A36-65794598B9DF}" xr6:coauthVersionLast="47" xr6:coauthVersionMax="47" xr10:uidLastSave="{EA000B67-7519-45FD-BCE7-2F14FBB6686C}"/>
  <bookViews>
    <workbookView xWindow="-108" yWindow="-108" windowWidth="23256" windowHeight="13896" activeTab="1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N3" i="5" l="1" a="1"/>
  <c r="L3" i="5" a="1"/>
  <c r="P3" i="5" a="1"/>
  <c r="Q3" i="5" a="1"/>
  <c r="K3" i="5" a="1"/>
  <c r="M3" i="5" a="1"/>
  <c r="I3" i="5" a="1"/>
  <c r="Z3" i="5"/>
  <c r="J3" i="5" a="1"/>
  <c r="R3" i="5" a="1"/>
  <c r="H3" i="5" a="1"/>
  <c r="O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K21" i="5"/>
  <c r="AC21" i="5"/>
  <c r="T21" i="5"/>
  <c r="M21" i="5"/>
  <c r="Q21" i="5"/>
  <c r="AA21" i="5"/>
  <c r="X21" i="5"/>
  <c r="N21" i="5"/>
  <c r="O21" i="5"/>
  <c r="L21" i="5"/>
  <c r="W21" i="5"/>
  <c r="I21" i="5"/>
  <c r="Y21" i="5"/>
  <c r="AE21" i="5"/>
  <c r="U21" i="5"/>
  <c r="J21" i="5"/>
  <c r="P21" i="5"/>
  <c r="R21" i="5"/>
  <c r="S21" i="5"/>
  <c r="AB21" i="5"/>
  <c r="H21" i="5"/>
  <c r="M3" i="1" a="1"/>
  <c r="H3" i="1" a="1"/>
  <c r="I3" i="1" a="1"/>
  <c r="R3" i="1" a="1"/>
  <c r="N3" i="1" a="1"/>
  <c r="J3" i="1" a="1"/>
  <c r="O3" i="1" a="1"/>
  <c r="K3" i="1" a="1"/>
  <c r="Q3" i="1" a="1"/>
  <c r="L3" i="1" a="1"/>
  <c r="P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Q77" i="1"/>
  <c r="AB77" i="1"/>
  <c r="U77" i="1"/>
  <c r="R77" i="1"/>
  <c r="V77" i="1"/>
  <c r="V3" i="1" s="1"/>
  <c r="S77" i="1"/>
  <c r="N77" i="1"/>
  <c r="L77" i="1"/>
  <c r="X77" i="1"/>
  <c r="O77" i="1"/>
  <c r="AF77" i="1"/>
  <c r="AF3" i="1" s="1"/>
  <c r="P77" i="1"/>
  <c r="AC77" i="1"/>
  <c r="I77" i="1"/>
  <c r="T77" i="1"/>
  <c r="J77" i="1"/>
  <c r="K77" i="1"/>
  <c r="M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<sst xmlns="http://schemas.openxmlformats.org/spreadsheetml/2006/main" count="1924" uniqueCount="124">
  <si>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</si>
  <si>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</si>
  <si>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</si>
  <si>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</si>
  <si>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</si>
  <si>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</si>
  <si>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</si>
  <si>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</si>
  <si>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</si>
  <si>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</si>
  <si>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</si>
  <si>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</si>
  <si>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</si>
  <si>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</si>
  <si>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</si>
  <si>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</si>
  <si>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</si>
  <si>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</si>
  <si>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</si>
  <si>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</si>
  <si>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</si>
  <si>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</si>
  <si>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</si>
  <si>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</si>
  <si>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</si>
  <si>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</si>
  <si>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</si>
  <si>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</si>
  <si>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</si>
  <si>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</si>
  <si>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</si>
  <si>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</si>
  <si>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</si>
  <si>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</si>
  <si>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</si>
  <si>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</si>
  <si>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</si>
  <si>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</si>
  <si>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</si>
  <si>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</si>
  <si>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</si>
  <si>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</si>
  <si>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</si>
  <si>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</si>
  <si>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</si>
  <si>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</si>
  <si>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</si>
  <si>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</si>
  <si>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</si>
  <si>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</si>
  <si>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</si>
  <si>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</si>
  <si>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</si>
  <si>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</si>
  <si>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</si>
  <si>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</si>
  <si>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</si>
  <si>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</si>
  <si>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</si>
  <si>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</si>
  <si>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</si>
  <si>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</si>
  <si>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</si>
  <si>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</si>
  <si>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</si>
  <si>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</si>
  <si>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</si>
  <si>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</si>
  <si>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</si>
  <si>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</si>
  <si>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</si>
  <si>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</si>
  <si>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</si>
  <si>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</si>
  <si>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</si>
  <si>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</si>
  <si>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</si>
  <si>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</si>
  <si>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</si>
  <si>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</si>
  <si>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</si>
  <si>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</si>
  <si>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</si>
  <si>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</si>
  <si>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</si>
  <si>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</si>
  <si>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</si>
  <si>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</si>
  <si>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</si>
  <si>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</si>
  <si>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</si>
  <si>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</si>
  <si>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</si>
  <si>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</si>
  <si>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</si>
  <si>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</si>
  <si>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</si>
  <si>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</si>
  <si>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</si>
  <si>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</si>
  <si>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</si>
  <si>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</si>
  <si>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</si>
  <si>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</si>
  <si>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</si>
  <si>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</si>
  <si>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</si>
  <si>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</si>
  <si>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</si>
  <si>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</si>
  <si>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</si>
  <si>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</si>
  <si>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</si>
  <si>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</si>
  <si>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</si>
  <si>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</si>
  <si>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</si>
  <si>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</si>
  <si>
    <t>JAPON</t>
  </si>
  <si>
    <t xml:space="preserve">PAISES BAJOS </t>
  </si>
  <si>
    <t xml:space="preserve">MEXICO </t>
  </si>
  <si>
    <t>BOSNIA</t>
  </si>
  <si>
    <t xml:space="preserve">AUSTRALIA 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</si>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</sst>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4"/>
    <xf numFmtId="0" fontId="10" fillId="0" borderId="4"/>
    <xf numFmtId="0" fontId="12" fillId="0" borderId="4"/>
    <xf numFmtId="0" fontId="12" fillId="0" borderId="4"/>
    <xf numFmtId="0" fontId="13" fillId="0" borderId="4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4" applyFont="1" applyBorder="1" applyAlignment="1">
      <alignment horizontal="center" vertical="center"/>
    </xf>
    <xf numFmtId="0" fontId="6" fillId="0" borderId="5" xfId="5" applyFont="1" applyBorder="1" applyAlignment="1">
      <alignment horizontal="center" vertical="center"/>
    </xf>
    <xf numFmtId="0" fontId="6" fillId="25" borderId="5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CDE2DAD8-18C9-498B-94D4-DF142B136E21}"/>
    <cellStyle name="Normal 3" xfId="2" xr:uid="{E78B5277-1D27-424B-A76E-597236430B2A}"/>
    <cellStyle name="Normal 4" xfId="3" xr:uid="{07529929-94A2-42BF-94D1-63131D82FF29}"/>
    <cellStyle name="Normal 5" xfId="4" xr:uid="{016C13A9-4854-4F4A-9A02-CBB4D41A8977}"/>
    <cellStyle name="Normal 6" xfId="5" xr:uid="{5AB2D5E4-A2AA-445D-94AF-E204871915D1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zoomScale="70" zoomScaleNormal="70" workbookViewId="0">
      <selection activeCell="M3" sqref="M3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5" t="s">
        <v>47</v>
      </c>
      <c r="B2" s="45"/>
      <c r="C2" s="46"/>
      <c r="D2" s="47" t="s">
        <v>103</v>
      </c>
      <c r="E2" s="48"/>
      <c r="F2" s="48"/>
      <c r="G2" s="49"/>
      <c r="H2" s="30" t="s">
        <v>106</v>
      </c>
      <c r="I2" s="29" t="s">
        <v>115</v>
      </c>
      <c r="J2" s="29" t="s">
        <v>114</v>
      </c>
      <c r="K2" s="29" t="s">
        <v>102</v>
      </c>
      <c r="L2" s="29" t="s">
        <v>111</v>
      </c>
      <c r="M2" s="29" t="s">
        <v>113</v>
      </c>
      <c r="N2" s="29" t="s">
        <v>112</v>
      </c>
      <c r="O2" s="30" t="s">
        <v>109</v>
      </c>
      <c r="P2" s="30" t="s">
        <v>108</v>
      </c>
      <c r="Q2" s="30" t="s">
        <v>107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SUMPRODUCT(($G$4:$G$75=H4:H75)*($G$4:$G$75&lt;&gt;""))</f>
        <v>46</v>
      </c>
      <c r="I3" s="14" cm="1">
        <f t="array" ref="I3">SUMPRODUCT(($G$4:$G$75=I4:I75)*($G$4:$G$75&lt;&gt;""))</f>
        <v>44</v>
      </c>
      <c r="J3" s="14" cm="1">
        <f t="array" ref="J3">SUMPRODUCT(($G$4:$G$75=J4:J75)*($G$4:$G$75&lt;&gt;""))</f>
        <v>43</v>
      </c>
      <c r="K3" s="14" cm="1">
        <f t="array" ref="K3">SUMPRODUCT(($G$4:$G$75=K4:K75)*($G$4:$G$75&lt;&gt;""))</f>
        <v>43</v>
      </c>
      <c r="L3" s="14" cm="1">
        <f t="array" ref="L3">SUMPRODUCT(($G$4:$G$75=L4:L75)*($G$4:$G$75&lt;&gt;""))</f>
        <v>42</v>
      </c>
      <c r="M3" s="14" cm="1">
        <f t="array" ref="M3">SUMPRODUCT(($G$4:$G$75=M4:M75)*($G$4:$G$75&lt;&gt;""))</f>
        <v>42</v>
      </c>
      <c r="N3" s="14" cm="1">
        <f t="array" ref="N3">SUMPRODUCT(($G$4:$G$75=N4:N75)*($G$4:$G$75&lt;&gt;""))</f>
        <v>40</v>
      </c>
      <c r="O3" s="14" cm="1">
        <f t="array" ref="O3">SUMPRODUCT(($G$4:$G$75=O4:O75)*($G$4:$G$75&lt;&gt;""))</f>
        <v>38</v>
      </c>
      <c r="P3" s="14" cm="1">
        <f t="array" ref="P3">SUMPRODUCT(($G$4:$G$75=P4:P75)*($G$4:$G$75&lt;&gt;""))</f>
        <v>36</v>
      </c>
      <c r="Q3" s="14" cm="1">
        <f t="array" ref="Q3">SUMPRODUCT(($G$4:$G$75=Q4:Q75)*($G$4:$G$75&lt;&gt;""))</f>
        <v>36</v>
      </c>
      <c r="R3" s="14" cm="1">
        <f t="array" ref="R3">SUMPRODUCT(($G$4:$G$75=R4:R75)*($G$4:$G$75&lt;&gt;""))</f>
        <v>36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6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5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10</v>
      </c>
      <c r="J5" s="23" t="s">
        <v>104</v>
      </c>
      <c r="K5" s="23" t="s">
        <v>46</v>
      </c>
      <c r="L5" s="23" t="s">
        <v>46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59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10</v>
      </c>
      <c r="M6" s="23" t="s">
        <v>46</v>
      </c>
      <c r="N6" s="23" t="s">
        <v>46</v>
      </c>
      <c r="O6" s="24" t="s">
        <v>10</v>
      </c>
      <c r="P6" s="24" t="s">
        <v>104</v>
      </c>
      <c r="Q6" s="24" t="s">
        <v>110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59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46</v>
      </c>
      <c r="L7" s="23" t="s">
        <v>46</v>
      </c>
      <c r="M7" s="23" t="s">
        <v>10</v>
      </c>
      <c r="N7" s="23" t="s">
        <v>46</v>
      </c>
      <c r="O7" s="24" t="s">
        <v>46</v>
      </c>
      <c r="P7" s="24" t="s">
        <v>10</v>
      </c>
      <c r="Q7" s="24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59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104</v>
      </c>
      <c r="J8" s="23" t="s">
        <v>104</v>
      </c>
      <c r="K8" s="23" t="s">
        <v>10</v>
      </c>
      <c r="L8" s="23" t="s">
        <v>104</v>
      </c>
      <c r="M8" s="23" t="s">
        <v>46</v>
      </c>
      <c r="N8" s="23" t="s">
        <v>104</v>
      </c>
      <c r="O8" s="24" t="s">
        <v>10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60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104</v>
      </c>
      <c r="J9" s="23" t="s">
        <v>10</v>
      </c>
      <c r="K9" s="23" t="s">
        <v>104</v>
      </c>
      <c r="L9" s="23" t="s">
        <v>104</v>
      </c>
      <c r="M9" s="23" t="s">
        <v>10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2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46</v>
      </c>
      <c r="J10" s="23" t="s">
        <v>46</v>
      </c>
      <c r="K10" s="23" t="s">
        <v>46</v>
      </c>
      <c r="L10" s="23" t="s">
        <v>10</v>
      </c>
      <c r="M10" s="23" t="s">
        <v>10</v>
      </c>
      <c r="N10" s="23" t="s">
        <v>10</v>
      </c>
      <c r="O10" s="24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5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104</v>
      </c>
      <c r="L11" s="23" t="s">
        <v>104</v>
      </c>
      <c r="M11" s="23" t="s">
        <v>10</v>
      </c>
      <c r="N11" s="23" t="s">
        <v>104</v>
      </c>
      <c r="O11" s="24" t="s">
        <v>46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59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10</v>
      </c>
      <c r="Q12" s="24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59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10</v>
      </c>
      <c r="Q13" s="24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59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</v>
      </c>
      <c r="J14" s="23" t="s">
        <v>10</v>
      </c>
      <c r="K14" s="23" t="s">
        <v>10</v>
      </c>
      <c r="L14" s="23" t="s">
        <v>46</v>
      </c>
      <c r="M14" s="23" t="s">
        <v>104</v>
      </c>
      <c r="N14" s="23" t="s">
        <v>104</v>
      </c>
      <c r="O14" s="24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60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46</v>
      </c>
      <c r="J15" s="23" t="s">
        <v>10</v>
      </c>
      <c r="K15" s="23" t="s">
        <v>46</v>
      </c>
      <c r="L15" s="23" t="s">
        <v>10</v>
      </c>
      <c r="M15" s="23" t="s">
        <v>104</v>
      </c>
      <c r="N15" s="23" t="s">
        <v>104</v>
      </c>
      <c r="O15" s="24" t="s">
        <v>46</v>
      </c>
      <c r="P15" s="24" t="s">
        <v>104</v>
      </c>
      <c r="Q15" s="24" t="s">
        <v>10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3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10</v>
      </c>
      <c r="M16" s="23" t="s">
        <v>46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5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59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46</v>
      </c>
      <c r="K18" s="23" t="s">
        <v>104</v>
      </c>
      <c r="L18" s="23" t="s">
        <v>104</v>
      </c>
      <c r="M18" s="23" t="s">
        <v>104</v>
      </c>
      <c r="N18" s="23" t="s">
        <v>104</v>
      </c>
      <c r="O18" s="24" t="s">
        <v>46</v>
      </c>
      <c r="P18" s="24" t="s">
        <v>10</v>
      </c>
      <c r="Q18" s="24" t="s">
        <v>46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59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59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104</v>
      </c>
      <c r="P20" s="24" t="s">
        <v>104</v>
      </c>
      <c r="Q20" s="24" t="s">
        <v>46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60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10</v>
      </c>
      <c r="K21" s="23" t="s">
        <v>46</v>
      </c>
      <c r="L21" s="23" t="s">
        <v>46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70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46</v>
      </c>
      <c r="J22" s="23" t="s">
        <v>46</v>
      </c>
      <c r="K22" s="23" t="s">
        <v>46</v>
      </c>
      <c r="L22" s="23" t="s">
        <v>10</v>
      </c>
      <c r="M22" s="23" t="s">
        <v>104</v>
      </c>
      <c r="N22" s="23" t="s">
        <v>10</v>
      </c>
      <c r="O22" s="24" t="s">
        <v>104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5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46</v>
      </c>
      <c r="K23" s="23" t="s">
        <v>104</v>
      </c>
      <c r="L23" s="23" t="s">
        <v>10</v>
      </c>
      <c r="M23" s="23" t="s">
        <v>46</v>
      </c>
      <c r="N23" s="23" t="s">
        <v>104</v>
      </c>
      <c r="O23" s="24" t="s">
        <v>10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59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104</v>
      </c>
      <c r="M24" s="23" t="s">
        <v>46</v>
      </c>
      <c r="N24" s="23" t="s">
        <v>46</v>
      </c>
      <c r="O24" s="24" t="s">
        <v>46</v>
      </c>
      <c r="P24" s="24" t="s">
        <v>10</v>
      </c>
      <c r="Q24" s="24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59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46</v>
      </c>
      <c r="M25" s="23" t="s">
        <v>10</v>
      </c>
      <c r="N25" s="23" t="s">
        <v>10</v>
      </c>
      <c r="O25" s="24" t="s">
        <v>104</v>
      </c>
      <c r="P25" s="24" t="s">
        <v>104</v>
      </c>
      <c r="Q25" s="24" t="s">
        <v>46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59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104</v>
      </c>
      <c r="K26" s="23" t="s">
        <v>10</v>
      </c>
      <c r="L26" s="23" t="s">
        <v>10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60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10</v>
      </c>
      <c r="K27" s="23" t="s">
        <v>46</v>
      </c>
      <c r="L27" s="23" t="s">
        <v>10</v>
      </c>
      <c r="M27" s="23" t="s">
        <v>46</v>
      </c>
      <c r="N27" s="23" t="s">
        <v>46</v>
      </c>
      <c r="O27" s="24" t="s">
        <v>10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71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59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</v>
      </c>
      <c r="K29" s="23" t="s">
        <v>104</v>
      </c>
      <c r="L29" s="23" t="s">
        <v>10</v>
      </c>
      <c r="M29" s="23" t="s">
        <v>46</v>
      </c>
      <c r="N29" s="23" t="s">
        <v>10</v>
      </c>
      <c r="O29" s="24" t="s">
        <v>104</v>
      </c>
      <c r="P29" s="24" t="s">
        <v>10</v>
      </c>
      <c r="Q29" s="24" t="s">
        <v>104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59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59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46</v>
      </c>
      <c r="J31" s="23" t="s">
        <v>10</v>
      </c>
      <c r="K31" s="23" t="s">
        <v>46</v>
      </c>
      <c r="L31" s="23" t="s">
        <v>104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59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</v>
      </c>
      <c r="K32" s="23" t="s">
        <v>104</v>
      </c>
      <c r="L32" s="23" t="s">
        <v>104</v>
      </c>
      <c r="M32" s="23" t="s">
        <v>104</v>
      </c>
      <c r="N32" s="23" t="s">
        <v>104</v>
      </c>
      <c r="O32" s="24" t="s">
        <v>10</v>
      </c>
      <c r="P32" s="24" t="s">
        <v>104</v>
      </c>
      <c r="Q32" s="24" t="s">
        <v>46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60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3" t="s">
        <v>104</v>
      </c>
      <c r="O33" s="24" t="s">
        <v>10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69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46</v>
      </c>
      <c r="J34" s="23" t="s">
        <v>104</v>
      </c>
      <c r="K34" s="23" t="s">
        <v>10</v>
      </c>
      <c r="L34" s="23" t="s">
        <v>10</v>
      </c>
      <c r="M34" s="23" t="s">
        <v>104</v>
      </c>
      <c r="N34" s="23" t="s">
        <v>10</v>
      </c>
      <c r="O34" s="24" t="s">
        <v>104</v>
      </c>
      <c r="P34" s="24" t="s">
        <v>10</v>
      </c>
      <c r="Q34" s="24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59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59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46</v>
      </c>
      <c r="P36" s="24" t="s">
        <v>10</v>
      </c>
      <c r="Q36" s="24" t="s">
        <v>104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59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59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10</v>
      </c>
      <c r="K38" s="23" t="s">
        <v>46</v>
      </c>
      <c r="L38" s="23" t="s">
        <v>46</v>
      </c>
      <c r="M38" s="23" t="s">
        <v>10</v>
      </c>
      <c r="N38" s="23" t="s">
        <v>46</v>
      </c>
      <c r="O38" s="24" t="s">
        <v>104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60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104</v>
      </c>
      <c r="J39" s="23" t="s">
        <v>104</v>
      </c>
      <c r="K39" s="23" t="s">
        <v>104</v>
      </c>
      <c r="L39" s="23" t="s">
        <v>104</v>
      </c>
      <c r="M39" s="23" t="s">
        <v>10</v>
      </c>
      <c r="N39" s="23" t="s">
        <v>10</v>
      </c>
      <c r="O39" s="24" t="s">
        <v>104</v>
      </c>
      <c r="P39" s="24" t="s">
        <v>104</v>
      </c>
      <c r="Q39" s="24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68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59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</v>
      </c>
      <c r="K41" s="23" t="s">
        <v>104</v>
      </c>
      <c r="L41" s="23" t="s">
        <v>10</v>
      </c>
      <c r="M41" s="23" t="s">
        <v>46</v>
      </c>
      <c r="N41" s="23" t="s">
        <v>46</v>
      </c>
      <c r="O41" s="24" t="s">
        <v>104</v>
      </c>
      <c r="P41" s="24" t="s">
        <v>10</v>
      </c>
      <c r="Q41" s="24" t="s">
        <v>104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59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46</v>
      </c>
      <c r="J42" s="23" t="s">
        <v>46</v>
      </c>
      <c r="K42" s="23" t="s">
        <v>46</v>
      </c>
      <c r="L42" s="23" t="s">
        <v>46</v>
      </c>
      <c r="M42" s="23" t="s">
        <v>10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59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46</v>
      </c>
      <c r="K43" s="23" t="s">
        <v>104</v>
      </c>
      <c r="L43" s="23" t="s">
        <v>10</v>
      </c>
      <c r="M43" s="23" t="s">
        <v>104</v>
      </c>
      <c r="N43" s="23" t="s">
        <v>104</v>
      </c>
      <c r="O43" s="24" t="s">
        <v>10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59"/>
      <c r="B44" s="7">
        <v>41</v>
      </c>
      <c r="C44" s="13" t="s">
        <v>72</v>
      </c>
      <c r="D44" s="13" t="s">
        <v>75</v>
      </c>
      <c r="E44" s="13">
        <v>1</v>
      </c>
      <c r="F44" s="13">
        <v>1</v>
      </c>
      <c r="G44" s="7" t="str">
        <f t="shared" si="1"/>
        <v>E</v>
      </c>
      <c r="H44" s="24" t="s">
        <v>46</v>
      </c>
      <c r="I44" s="23" t="s">
        <v>10</v>
      </c>
      <c r="J44" s="23" t="s">
        <v>10</v>
      </c>
      <c r="K44" s="23" t="s">
        <v>46</v>
      </c>
      <c r="L44" s="23" t="s">
        <v>104</v>
      </c>
      <c r="M44" s="23" t="s">
        <v>104</v>
      </c>
      <c r="N44" s="23" t="s">
        <v>10</v>
      </c>
      <c r="O44" s="24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60"/>
      <c r="B45" s="7">
        <v>42</v>
      </c>
      <c r="C45" s="13" t="s">
        <v>76</v>
      </c>
      <c r="D45" s="13" t="s">
        <v>71</v>
      </c>
      <c r="E45" s="13">
        <v>1</v>
      </c>
      <c r="F45" s="13">
        <v>5</v>
      </c>
      <c r="G45" s="7" t="str">
        <f t="shared" si="1"/>
        <v>V</v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8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59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</v>
      </c>
      <c r="K47" s="23" t="s">
        <v>104</v>
      </c>
      <c r="L47" s="23" t="s">
        <v>104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59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59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46</v>
      </c>
      <c r="J49" s="23" t="s">
        <v>46</v>
      </c>
      <c r="K49" s="23" t="s">
        <v>46</v>
      </c>
      <c r="L49" s="23" t="s">
        <v>46</v>
      </c>
      <c r="M49" s="23" t="s">
        <v>104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59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4" t="s">
        <v>10</v>
      </c>
      <c r="I50" s="23" t="s">
        <v>10</v>
      </c>
      <c r="J50" s="23" t="s">
        <v>10</v>
      </c>
      <c r="K50" s="23" t="s">
        <v>10</v>
      </c>
      <c r="L50" s="23" t="s">
        <v>104</v>
      </c>
      <c r="M50" s="23" t="s">
        <v>104</v>
      </c>
      <c r="N50" s="23" t="s">
        <v>10</v>
      </c>
      <c r="O50" s="24" t="s">
        <v>104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60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</v>
      </c>
      <c r="P51" s="24" t="s">
        <v>10</v>
      </c>
      <c r="Q51" s="24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1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46</v>
      </c>
      <c r="L52" s="25" t="s">
        <v>46</v>
      </c>
      <c r="M52" s="25" t="s">
        <v>10</v>
      </c>
      <c r="N52" s="25" t="s">
        <v>46</v>
      </c>
      <c r="O52" s="26" t="s">
        <v>46</v>
      </c>
      <c r="P52" s="26" t="s">
        <v>46</v>
      </c>
      <c r="Q52" s="26" t="s">
        <v>104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2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46</v>
      </c>
      <c r="Q53" s="26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2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2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46</v>
      </c>
      <c r="L55" s="25" t="s">
        <v>10</v>
      </c>
      <c r="M55" s="25" t="s">
        <v>10</v>
      </c>
      <c r="N55" s="25" t="s">
        <v>46</v>
      </c>
      <c r="O55" s="26" t="s">
        <v>46</v>
      </c>
      <c r="P55" s="26" t="s">
        <v>46</v>
      </c>
      <c r="Q55" s="26" t="s">
        <v>104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2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104</v>
      </c>
      <c r="J56" s="25" t="s">
        <v>104</v>
      </c>
      <c r="K56" s="25" t="s">
        <v>104</v>
      </c>
      <c r="L56" s="25" t="s">
        <v>46</v>
      </c>
      <c r="M56" s="25" t="s">
        <v>10</v>
      </c>
      <c r="N56" s="25" t="s">
        <v>104</v>
      </c>
      <c r="O56" s="26" t="s">
        <v>10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3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10</v>
      </c>
      <c r="K57" s="25" t="s">
        <v>46</v>
      </c>
      <c r="L57" s="25" t="s">
        <v>10</v>
      </c>
      <c r="M57" s="25" t="s">
        <v>46</v>
      </c>
      <c r="N57" s="25" t="s">
        <v>10</v>
      </c>
      <c r="O57" s="26" t="s">
        <v>10</v>
      </c>
      <c r="P57" s="26" t="s">
        <v>104</v>
      </c>
      <c r="Q57" s="26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4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46</v>
      </c>
      <c r="L58" s="25" t="s">
        <v>46</v>
      </c>
      <c r="M58" s="25" t="s">
        <v>10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5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10</v>
      </c>
      <c r="K59" s="25" t="s">
        <v>46</v>
      </c>
      <c r="L59" s="25" t="s">
        <v>46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5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10</v>
      </c>
      <c r="Q60" s="26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5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</v>
      </c>
      <c r="L61" s="25" t="s">
        <v>104</v>
      </c>
      <c r="M61" s="25" t="s">
        <v>104</v>
      </c>
      <c r="N61" s="25" t="s">
        <v>104</v>
      </c>
      <c r="O61" s="26" t="s">
        <v>46</v>
      </c>
      <c r="P61" s="26" t="s">
        <v>46</v>
      </c>
      <c r="Q61" s="26" t="s">
        <v>10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5"/>
      <c r="B62" s="7">
        <v>59</v>
      </c>
      <c r="C62" s="16" t="s">
        <v>85</v>
      </c>
      <c r="D62" s="16" t="s">
        <v>86</v>
      </c>
      <c r="E62" s="16">
        <v>3</v>
      </c>
      <c r="F62" s="16">
        <v>3</v>
      </c>
      <c r="G62" s="7" t="str">
        <f t="shared" si="1"/>
        <v>E</v>
      </c>
      <c r="H62" s="26" t="s">
        <v>10</v>
      </c>
      <c r="I62" s="25" t="s">
        <v>104</v>
      </c>
      <c r="J62" s="25" t="s">
        <v>10</v>
      </c>
      <c r="K62" s="25" t="s">
        <v>104</v>
      </c>
      <c r="L62" s="25" t="s">
        <v>104</v>
      </c>
      <c r="M62" s="25" t="s">
        <v>10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6"/>
      <c r="B63" s="7">
        <v>60</v>
      </c>
      <c r="C63" s="16" t="s">
        <v>87</v>
      </c>
      <c r="D63" s="16" t="s">
        <v>84</v>
      </c>
      <c r="E63" s="16">
        <v>1</v>
      </c>
      <c r="F63" s="16">
        <v>3</v>
      </c>
      <c r="G63" s="7" t="str">
        <f t="shared" si="1"/>
        <v>V</v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2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3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3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3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104</v>
      </c>
      <c r="M67" s="25" t="s">
        <v>46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3"/>
      <c r="B68" s="7">
        <v>65</v>
      </c>
      <c r="C68" s="17" t="s">
        <v>95</v>
      </c>
      <c r="D68" s="17" t="s">
        <v>88</v>
      </c>
      <c r="E68" s="17">
        <v>0</v>
      </c>
      <c r="F68" s="17">
        <v>0</v>
      </c>
      <c r="G68" s="7" t="str">
        <f t="shared" si="1"/>
        <v>E</v>
      </c>
      <c r="H68" s="26" t="s">
        <v>10</v>
      </c>
      <c r="I68" s="25" t="s">
        <v>104</v>
      </c>
      <c r="J68" s="25" t="s">
        <v>104</v>
      </c>
      <c r="K68" s="25" t="s">
        <v>104</v>
      </c>
      <c r="L68" s="25" t="s">
        <v>46</v>
      </c>
      <c r="M68" s="25" t="s">
        <v>10</v>
      </c>
      <c r="N68" s="25" t="s">
        <v>10</v>
      </c>
      <c r="O68" s="26" t="s">
        <v>104</v>
      </c>
      <c r="P68" s="26" t="s">
        <v>10</v>
      </c>
      <c r="Q68" s="26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4"/>
      <c r="B69" s="7">
        <v>66</v>
      </c>
      <c r="C69" s="17" t="s">
        <v>89</v>
      </c>
      <c r="D69" s="17" t="s">
        <v>94</v>
      </c>
      <c r="E69" s="17">
        <v>3</v>
      </c>
      <c r="F69" s="17">
        <v>1</v>
      </c>
      <c r="G69" s="7" t="str">
        <f t="shared" ref="G69:G75" si="2">IF(OR(E69="",F69=""),"",IF(E69&gt;F69,"L",IF(E69&lt;F69,"V","E")))</f>
        <v>L</v>
      </c>
      <c r="H69" s="26" t="s">
        <v>10</v>
      </c>
      <c r="I69" s="25" t="s">
        <v>10</v>
      </c>
      <c r="J69" s="25" t="s">
        <v>10</v>
      </c>
      <c r="K69" s="25" t="s">
        <v>10</v>
      </c>
      <c r="L69" s="25" t="s">
        <v>46</v>
      </c>
      <c r="M69" s="25" t="s">
        <v>104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5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46</v>
      </c>
      <c r="K70" s="25" t="s">
        <v>10</v>
      </c>
      <c r="L70" s="25" t="s">
        <v>10</v>
      </c>
      <c r="M70" s="25" t="s">
        <v>46</v>
      </c>
      <c r="N70" s="25" t="s">
        <v>46</v>
      </c>
      <c r="O70" s="26" t="s">
        <v>104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6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10</v>
      </c>
      <c r="M71" s="25" t="s">
        <v>46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6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46</v>
      </c>
      <c r="J72" s="25" t="s">
        <v>46</v>
      </c>
      <c r="K72" s="25" t="s">
        <v>46</v>
      </c>
      <c r="L72" s="25" t="s">
        <v>46</v>
      </c>
      <c r="M72" s="25" t="s">
        <v>10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6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46</v>
      </c>
      <c r="Q73" s="26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6"/>
      <c r="B74" s="7">
        <v>71</v>
      </c>
      <c r="C74" s="18" t="s">
        <v>93</v>
      </c>
      <c r="D74" s="18" t="s">
        <v>90</v>
      </c>
      <c r="E74" s="18">
        <v>0</v>
      </c>
      <c r="F74" s="18">
        <v>2</v>
      </c>
      <c r="G74" s="7" t="str">
        <f t="shared" si="2"/>
        <v>V</v>
      </c>
      <c r="H74" s="26" t="s">
        <v>104</v>
      </c>
      <c r="I74" s="25" t="s">
        <v>104</v>
      </c>
      <c r="J74" s="25" t="s">
        <v>104</v>
      </c>
      <c r="K74" s="25" t="s">
        <v>104</v>
      </c>
      <c r="L74" s="25" t="s">
        <v>104</v>
      </c>
      <c r="M74" s="25" t="s">
        <v>10</v>
      </c>
      <c r="N74" s="25" t="s">
        <v>104</v>
      </c>
      <c r="O74" s="26" t="s">
        <v>104</v>
      </c>
      <c r="P74" s="26" t="s">
        <v>104</v>
      </c>
      <c r="Q74" s="26" t="s">
        <v>46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7"/>
      <c r="B75" s="7">
        <v>72</v>
      </c>
      <c r="C75" s="18" t="s">
        <v>91</v>
      </c>
      <c r="D75" s="18" t="s">
        <v>92</v>
      </c>
      <c r="E75" s="18">
        <v>2</v>
      </c>
      <c r="F75" s="18">
        <v>1</v>
      </c>
      <c r="G75" s="7" t="str">
        <f t="shared" si="2"/>
        <v>L</v>
      </c>
      <c r="H75" s="26" t="s">
        <v>46</v>
      </c>
      <c r="I75" s="25" t="s">
        <v>46</v>
      </c>
      <c r="J75" s="25" t="s">
        <v>46</v>
      </c>
      <c r="K75" s="25" t="s">
        <v>46</v>
      </c>
      <c r="L75" s="25" t="s">
        <v>46</v>
      </c>
      <c r="M75" s="25" t="s">
        <v>104</v>
      </c>
      <c r="N75" s="25" t="s">
        <v>10</v>
      </c>
      <c r="O75" s="26" t="s">
        <v>46</v>
      </c>
      <c r="P75" s="26" t="s">
        <v>10</v>
      </c>
      <c r="Q75" s="26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0" t="s">
        <v>14</v>
      </c>
      <c r="E76" s="41"/>
      <c r="F76" s="42"/>
      <c r="G76" s="2">
        <f>SUM(E4:F75)</f>
        <v>215</v>
      </c>
      <c r="H76" s="26">
        <v>179</v>
      </c>
      <c r="I76" s="25">
        <v>197</v>
      </c>
      <c r="J76" s="25">
        <v>190</v>
      </c>
      <c r="K76" s="25">
        <v>172</v>
      </c>
      <c r="L76" s="25">
        <v>222</v>
      </c>
      <c r="M76" s="25">
        <v>186</v>
      </c>
      <c r="N76" s="25">
        <v>169</v>
      </c>
      <c r="O76" s="26">
        <v>162</v>
      </c>
      <c r="P76" s="26">
        <v>201</v>
      </c>
      <c r="Q76" s="26">
        <v>185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3" t="s">
        <v>15</v>
      </c>
      <c r="E77" s="41"/>
      <c r="F77" s="41"/>
      <c r="G77" s="42"/>
      <c r="H77" s="28">
        <f t="shared" ref="H77:R77" si="3">SUM(H78:H81)</f>
        <v>64</v>
      </c>
      <c r="I77" s="28">
        <f t="shared" si="3"/>
        <v>82</v>
      </c>
      <c r="J77" s="28">
        <f t="shared" si="3"/>
        <v>75</v>
      </c>
      <c r="K77" s="28">
        <f t="shared" si="3"/>
        <v>57</v>
      </c>
      <c r="L77" s="28">
        <f t="shared" si="3"/>
        <v>93</v>
      </c>
      <c r="M77" s="28">
        <f t="shared" si="3"/>
        <v>71</v>
      </c>
      <c r="N77" s="28">
        <f t="shared" si="3"/>
        <v>54</v>
      </c>
      <c r="O77" s="28">
        <f t="shared" si="3"/>
        <v>47</v>
      </c>
      <c r="P77" s="28">
        <f t="shared" si="3"/>
        <v>86</v>
      </c>
      <c r="Q77" s="28">
        <f t="shared" si="3"/>
        <v>70</v>
      </c>
      <c r="R77" s="28">
        <f t="shared" si="3"/>
        <v>65</v>
      </c>
      <c r="S77" s="28">
        <f t="shared" ref="S77:AF77" si="4">SUM(S78:S81)</f>
        <v>0</v>
      </c>
      <c r="T77" s="28">
        <f t="shared" si="4"/>
        <v>0</v>
      </c>
      <c r="U77" s="28">
        <f t="shared" si="4"/>
        <v>0</v>
      </c>
      <c r="V77" s="28">
        <f t="shared" si="4"/>
        <v>0</v>
      </c>
      <c r="W77" s="28">
        <f t="shared" si="4"/>
        <v>0</v>
      </c>
      <c r="X77" s="28">
        <f t="shared" si="4"/>
        <v>0</v>
      </c>
      <c r="Y77" s="28">
        <f t="shared" si="4"/>
        <v>0</v>
      </c>
      <c r="Z77" s="28">
        <f t="shared" si="4"/>
        <v>0</v>
      </c>
      <c r="AA77" s="28">
        <f t="shared" si="4"/>
        <v>0</v>
      </c>
      <c r="AB77" s="28">
        <f t="shared" si="4"/>
        <v>0</v>
      </c>
      <c r="AC77" s="28">
        <f t="shared" si="4"/>
        <v>0</v>
      </c>
      <c r="AD77" s="28">
        <f t="shared" si="4"/>
        <v>0</v>
      </c>
      <c r="AE77" s="28">
        <f t="shared" si="4"/>
        <v>0</v>
      </c>
      <c r="AF77" s="28">
        <f t="shared" si="4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5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82</v>
      </c>
      <c r="J78" s="3">
        <f t="shared" si="5"/>
        <v>75</v>
      </c>
      <c r="K78" s="3">
        <f t="shared" si="5"/>
        <v>0</v>
      </c>
      <c r="L78" s="3">
        <f t="shared" si="5"/>
        <v>93</v>
      </c>
      <c r="M78" s="3">
        <f t="shared" si="5"/>
        <v>71</v>
      </c>
      <c r="N78" s="3">
        <f t="shared" si="5"/>
        <v>0</v>
      </c>
      <c r="O78" s="3">
        <f t="shared" si="5"/>
        <v>0</v>
      </c>
      <c r="P78" s="3">
        <f t="shared" si="5"/>
        <v>86</v>
      </c>
      <c r="Q78" s="3">
        <f t="shared" si="5"/>
        <v>70</v>
      </c>
      <c r="R78" s="3">
        <f t="shared" si="5"/>
        <v>0</v>
      </c>
      <c r="S78" s="3">
        <f t="shared" si="5"/>
        <v>0</v>
      </c>
      <c r="T78" s="3">
        <f t="shared" si="5"/>
        <v>0</v>
      </c>
      <c r="U78" s="3">
        <f t="shared" si="5"/>
        <v>0</v>
      </c>
      <c r="V78" s="3">
        <f t="shared" si="5"/>
        <v>0</v>
      </c>
      <c r="W78" s="3">
        <f t="shared" si="5"/>
        <v>0</v>
      </c>
      <c r="X78" s="3">
        <f t="shared" si="5"/>
        <v>0</v>
      </c>
      <c r="Y78" s="3">
        <f t="shared" si="5"/>
        <v>0</v>
      </c>
      <c r="Z78" s="3">
        <f t="shared" si="5"/>
        <v>0</v>
      </c>
      <c r="AA78" s="3">
        <f t="shared" si="5"/>
        <v>0</v>
      </c>
      <c r="AB78" s="3">
        <f t="shared" si="5"/>
        <v>0</v>
      </c>
      <c r="AC78" s="3">
        <f t="shared" si="5"/>
        <v>0</v>
      </c>
      <c r="AD78" s="3">
        <f t="shared" si="5"/>
        <v>0</v>
      </c>
      <c r="AE78" s="3">
        <f t="shared" si="5"/>
        <v>0</v>
      </c>
      <c r="AF78" s="3">
        <f t="shared" si="5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6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64</v>
      </c>
      <c r="I79" s="3">
        <f t="shared" si="6"/>
        <v>0</v>
      </c>
      <c r="J79" s="3">
        <f t="shared" si="6"/>
        <v>0</v>
      </c>
      <c r="K79" s="3">
        <f t="shared" si="6"/>
        <v>57</v>
      </c>
      <c r="L79" s="3">
        <f t="shared" si="6"/>
        <v>0</v>
      </c>
      <c r="M79" s="3">
        <f t="shared" si="6"/>
        <v>0</v>
      </c>
      <c r="N79" s="3">
        <f t="shared" si="6"/>
        <v>54</v>
      </c>
      <c r="O79" s="3">
        <f t="shared" si="6"/>
        <v>47</v>
      </c>
      <c r="P79" s="3">
        <f t="shared" si="6"/>
        <v>0</v>
      </c>
      <c r="Q79" s="3">
        <f t="shared" si="6"/>
        <v>0</v>
      </c>
      <c r="R79" s="3">
        <f t="shared" si="6"/>
        <v>65</v>
      </c>
      <c r="S79" s="3">
        <f t="shared" si="6"/>
        <v>0</v>
      </c>
      <c r="T79" s="3">
        <f t="shared" si="6"/>
        <v>0</v>
      </c>
      <c r="U79" s="3">
        <f t="shared" si="6"/>
        <v>0</v>
      </c>
      <c r="V79" s="3">
        <f t="shared" si="6"/>
        <v>0</v>
      </c>
      <c r="W79" s="3">
        <f t="shared" si="6"/>
        <v>0</v>
      </c>
      <c r="X79" s="3">
        <f t="shared" si="6"/>
        <v>0</v>
      </c>
      <c r="Y79" s="3">
        <f t="shared" si="6"/>
        <v>0</v>
      </c>
      <c r="Z79" s="3">
        <f t="shared" si="6"/>
        <v>0</v>
      </c>
      <c r="AA79" s="3">
        <f t="shared" si="6"/>
        <v>0</v>
      </c>
      <c r="AB79" s="3">
        <f t="shared" si="6"/>
        <v>0</v>
      </c>
      <c r="AC79" s="3">
        <f t="shared" si="6"/>
        <v>0</v>
      </c>
      <c r="AD79" s="3">
        <f t="shared" si="6"/>
        <v>0</v>
      </c>
      <c r="AE79" s="3">
        <f t="shared" si="6"/>
        <v>0</v>
      </c>
      <c r="AF79" s="3">
        <f t="shared" si="6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7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7"/>
        <v>0</v>
      </c>
      <c r="J80" s="3">
        <f t="shared" si="7"/>
        <v>0</v>
      </c>
      <c r="K80" s="3">
        <f t="shared" si="7"/>
        <v>0</v>
      </c>
      <c r="L80" s="3">
        <f t="shared" si="7"/>
        <v>0</v>
      </c>
      <c r="M80" s="3">
        <f t="shared" si="7"/>
        <v>0</v>
      </c>
      <c r="N80" s="3">
        <f t="shared" si="7"/>
        <v>0</v>
      </c>
      <c r="O80" s="3">
        <f t="shared" si="7"/>
        <v>0</v>
      </c>
      <c r="P80" s="3">
        <f t="shared" si="7"/>
        <v>0</v>
      </c>
      <c r="Q80" s="3">
        <f t="shared" si="7"/>
        <v>0</v>
      </c>
      <c r="R80" s="3">
        <f t="shared" si="7"/>
        <v>0</v>
      </c>
      <c r="S80" s="3">
        <f t="shared" si="7"/>
        <v>0</v>
      </c>
      <c r="T80" s="3">
        <f t="shared" si="7"/>
        <v>0</v>
      </c>
      <c r="U80" s="3">
        <f t="shared" si="7"/>
        <v>0</v>
      </c>
      <c r="V80" s="3">
        <f t="shared" si="7"/>
        <v>0</v>
      </c>
      <c r="W80" s="3">
        <f t="shared" si="7"/>
        <v>0</v>
      </c>
      <c r="X80" s="3">
        <f t="shared" si="7"/>
        <v>0</v>
      </c>
      <c r="Y80" s="3">
        <f t="shared" si="7"/>
        <v>0</v>
      </c>
      <c r="Z80" s="3">
        <f t="shared" si="7"/>
        <v>0</v>
      </c>
      <c r="AA80" s="3">
        <f t="shared" si="7"/>
        <v>0</v>
      </c>
      <c r="AB80" s="3">
        <f t="shared" si="7"/>
        <v>0</v>
      </c>
      <c r="AC80" s="3">
        <f t="shared" si="7"/>
        <v>0</v>
      </c>
      <c r="AD80" s="3">
        <f t="shared" si="7"/>
        <v>0</v>
      </c>
      <c r="AE80" s="3">
        <f t="shared" si="7"/>
        <v>0</v>
      </c>
      <c r="AF80" s="3">
        <f t="shared" si="7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8">IF($G$76-H76=-96,4,IF($G$76-H76=97,3,IF($G$76-H76=-97,3,IF($G$76-H76=98,2,IF($G$76-H76=-98,2,IF($G$76-H76=99,1,IF($G$76-H76=-99,1,IF($G$76-H76=100,0,IF($G$76-H76=-100,0,0)))))))))</f>
        <v>0</v>
      </c>
      <c r="I81" s="3">
        <f t="shared" si="8"/>
        <v>0</v>
      </c>
      <c r="J81" s="3">
        <f t="shared" si="8"/>
        <v>0</v>
      </c>
      <c r="K81" s="3">
        <f t="shared" si="8"/>
        <v>0</v>
      </c>
      <c r="L81" s="3">
        <f t="shared" si="8"/>
        <v>0</v>
      </c>
      <c r="M81" s="3">
        <f t="shared" si="8"/>
        <v>0</v>
      </c>
      <c r="N81" s="3">
        <f t="shared" si="8"/>
        <v>0</v>
      </c>
      <c r="O81" s="3">
        <f t="shared" si="8"/>
        <v>0</v>
      </c>
      <c r="P81" s="3">
        <f t="shared" si="8"/>
        <v>0</v>
      </c>
      <c r="Q81" s="3">
        <f t="shared" si="8"/>
        <v>0</v>
      </c>
      <c r="R81" s="3">
        <f t="shared" si="8"/>
        <v>0</v>
      </c>
      <c r="S81" s="3">
        <f t="shared" si="8"/>
        <v>0</v>
      </c>
      <c r="T81" s="3">
        <f t="shared" si="8"/>
        <v>0</v>
      </c>
      <c r="U81" s="3">
        <f t="shared" si="8"/>
        <v>0</v>
      </c>
      <c r="V81" s="3">
        <f t="shared" si="8"/>
        <v>0</v>
      </c>
      <c r="W81" s="3">
        <f t="shared" si="8"/>
        <v>0</v>
      </c>
      <c r="X81" s="3">
        <f t="shared" si="8"/>
        <v>0</v>
      </c>
      <c r="Y81" s="3">
        <f t="shared" si="8"/>
        <v>0</v>
      </c>
      <c r="Z81" s="3">
        <f t="shared" si="8"/>
        <v>0</v>
      </c>
      <c r="AA81" s="3">
        <f t="shared" si="8"/>
        <v>0</v>
      </c>
      <c r="AB81" s="3">
        <f t="shared" si="8"/>
        <v>0</v>
      </c>
      <c r="AC81" s="3">
        <f t="shared" si="8"/>
        <v>0</v>
      </c>
      <c r="AD81" s="3">
        <f t="shared" si="8"/>
        <v>0</v>
      </c>
      <c r="AE81" s="3">
        <f t="shared" si="8"/>
        <v>0</v>
      </c>
      <c r="AF81" s="3">
        <f t="shared" si="8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tabSelected="1" zoomScale="70" zoomScaleNormal="70" workbookViewId="0">
      <selection activeCell="AH11" sqref="AH11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3" width="17.6640625" bestFit="1" customWidth="1"/>
    <col min="4" max="4" width="16.6640625" bestFit="1" customWidth="1"/>
    <col min="5" max="6" width="4" customWidth="1"/>
    <col min="7" max="7" width="15.109375" customWidth="1"/>
    <col min="8" max="11" width="4.44140625" bestFit="1" customWidth="1"/>
    <col min="12" max="12" width="6.6640625" bestFit="1" customWidth="1"/>
    <col min="13" max="14" width="4.44140625" bestFit="1" customWidth="1"/>
    <col min="15" max="15" width="3.88671875" bestFit="1" customWidth="1"/>
    <col min="16" max="16" width="4.44140625" bestFit="1" customWidth="1"/>
    <col min="17" max="17" width="6.77734375" bestFit="1" customWidth="1"/>
    <col min="18" max="18" width="3.88671875" bestFit="1" customWidth="1"/>
    <col min="19" max="32" width="5.6640625" hidden="1" customWidth="1"/>
  </cols>
  <sheetData>
    <row r="1" spans="1:32" ht="15.6" x14ac:dyDescent="0.3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5" t="s">
        <v>47</v>
      </c>
      <c r="B2" s="45"/>
      <c r="C2" s="46"/>
      <c r="D2" s="47" t="s">
        <v>103</v>
      </c>
      <c r="E2" s="48"/>
      <c r="F2" s="48"/>
      <c r="G2" s="49"/>
      <c r="H2" s="30" t="s">
        <v>108</v>
      </c>
      <c r="I2" s="29" t="s">
        <v>115</v>
      </c>
      <c r="J2" s="30" t="s">
        <v>109</v>
      </c>
      <c r="K2" s="30" t="s">
        <v>106</v>
      </c>
      <c r="L2" s="29" t="s">
        <v>114</v>
      </c>
      <c r="M2" s="29" t="s">
        <v>112</v>
      </c>
      <c r="N2" s="29" t="s">
        <v>102</v>
      </c>
      <c r="O2" s="30" t="s">
        <v>107</v>
      </c>
      <c r="P2" s="29" t="s">
        <v>113</v>
      </c>
      <c r="Q2" s="29" t="s">
        <v>111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SUMPRODUCT(($G$4:$G$19=H4:H19)*($G$4:$G$19&lt;&gt;""))</f>
        <v>3</v>
      </c>
      <c r="I3" s="14" cm="1">
        <f t="array" ref="I3">SUMPRODUCT(($G$4:$G$19=I4:I19)*($G$4:$G$19&lt;&gt;""))</f>
        <v>3</v>
      </c>
      <c r="J3" s="14" cm="1">
        <f t="array" ref="J3">SUMPRODUCT(($G$4:$G$19=J4:J19)*($G$4:$G$19&lt;&gt;""))</f>
        <v>2</v>
      </c>
      <c r="K3" s="14" cm="1">
        <f t="array" ref="K3">SUMPRODUCT(($G$4:$G$19=K4:K19)*($G$4:$G$19&lt;&gt;""))</f>
        <v>2</v>
      </c>
      <c r="L3" s="14" cm="1">
        <f t="array" ref="L3">SUMPRODUCT(($G$4:$G$19=L4:L19)*($G$4:$G$19&lt;&gt;""))</f>
        <v>2</v>
      </c>
      <c r="M3" s="14" cm="1">
        <f t="array" ref="M3">SUMPRODUCT(($G$4:$G$19=M4:M19)*($G$4:$G$19&lt;&gt;""))</f>
        <v>2</v>
      </c>
      <c r="N3" s="14" cm="1">
        <f t="array" ref="N3">SUMPRODUCT(($G$4:$G$19=N4:N19)*($G$4:$G$19&lt;&gt;""))</f>
        <v>2</v>
      </c>
      <c r="O3" s="14" cm="1">
        <f t="array" ref="O3">SUMPRODUCT(($G$4:$G$19=O4:O19)*($G$4:$G$19&lt;&gt;""))</f>
        <v>2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39" t="s">
        <v>116</v>
      </c>
      <c r="B4" s="34">
        <v>1</v>
      </c>
      <c r="C4" s="35" t="s">
        <v>49</v>
      </c>
      <c r="D4" s="35" t="s">
        <v>52</v>
      </c>
      <c r="E4" s="35">
        <v>0</v>
      </c>
      <c r="F4" s="35">
        <v>1</v>
      </c>
      <c r="G4" s="35" t="str">
        <f>IF(OR(E4="",F4=""),"",IF(E4&gt;F4,"L",IF(E4&lt;F4,"V","E")))</f>
        <v>V</v>
      </c>
      <c r="H4" s="37" t="s">
        <v>10</v>
      </c>
      <c r="I4" s="23" t="s">
        <v>104</v>
      </c>
      <c r="J4" s="37" t="s">
        <v>104</v>
      </c>
      <c r="K4" s="37" t="s">
        <v>104</v>
      </c>
      <c r="L4" s="23" t="s">
        <v>46</v>
      </c>
      <c r="M4" s="23" t="s">
        <v>104</v>
      </c>
      <c r="N4" s="23" t="s">
        <v>104</v>
      </c>
      <c r="O4" s="37" t="s">
        <v>104</v>
      </c>
      <c r="P4" s="38"/>
      <c r="Q4" s="38"/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34">
        <v>2</v>
      </c>
      <c r="C5" s="35" t="s">
        <v>58</v>
      </c>
      <c r="D5" s="35" t="s">
        <v>118</v>
      </c>
      <c r="E5" s="35">
        <v>2</v>
      </c>
      <c r="F5" s="35">
        <v>1</v>
      </c>
      <c r="G5" s="35" t="str">
        <f t="shared" ref="G5:G19" si="0">IF(OR(E5="",F5=""),"",IF(E5&gt;F5,"L",IF(E5&lt;F5,"V","E")))</f>
        <v>L</v>
      </c>
      <c r="H5" s="37" t="s">
        <v>46</v>
      </c>
      <c r="I5" s="23" t="s">
        <v>46</v>
      </c>
      <c r="J5" s="37" t="s">
        <v>46</v>
      </c>
      <c r="K5" s="37" t="s">
        <v>10</v>
      </c>
      <c r="L5" s="23" t="s">
        <v>46</v>
      </c>
      <c r="M5" s="23" t="s">
        <v>104</v>
      </c>
      <c r="N5" s="23" t="s">
        <v>46</v>
      </c>
      <c r="O5" s="37" t="s">
        <v>46</v>
      </c>
      <c r="P5" s="23" t="s">
        <v>10</v>
      </c>
      <c r="Q5" s="23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34">
        <v>3</v>
      </c>
      <c r="C6" s="35" t="s">
        <v>63</v>
      </c>
      <c r="D6" s="35" t="s">
        <v>55</v>
      </c>
      <c r="E6" s="35">
        <v>1</v>
      </c>
      <c r="F6" s="35">
        <v>1</v>
      </c>
      <c r="G6" s="35" t="str">
        <f t="shared" si="0"/>
        <v>E</v>
      </c>
      <c r="H6" s="37" t="s">
        <v>10</v>
      </c>
      <c r="I6" s="23" t="s">
        <v>46</v>
      </c>
      <c r="J6" s="37" t="s">
        <v>46</v>
      </c>
      <c r="K6" s="37" t="s">
        <v>46</v>
      </c>
      <c r="L6" s="23" t="s">
        <v>46</v>
      </c>
      <c r="M6" s="23" t="s">
        <v>46</v>
      </c>
      <c r="N6" s="23" t="s">
        <v>46</v>
      </c>
      <c r="O6" s="37" t="s">
        <v>46</v>
      </c>
      <c r="P6" s="23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34">
        <v>4</v>
      </c>
      <c r="C7" s="35" t="s">
        <v>119</v>
      </c>
      <c r="D7" s="35" t="s">
        <v>59</v>
      </c>
      <c r="E7" s="35">
        <v>1</v>
      </c>
      <c r="F7" s="35">
        <v>1</v>
      </c>
      <c r="G7" s="35" t="str">
        <f t="shared" si="0"/>
        <v>E</v>
      </c>
      <c r="H7" s="37" t="s">
        <v>10</v>
      </c>
      <c r="I7" s="23" t="s">
        <v>10</v>
      </c>
      <c r="J7" s="37" t="s">
        <v>46</v>
      </c>
      <c r="K7" s="37" t="s">
        <v>10</v>
      </c>
      <c r="L7" s="23" t="s">
        <v>10</v>
      </c>
      <c r="M7" s="23" t="s">
        <v>10</v>
      </c>
      <c r="N7" s="23" t="s">
        <v>46</v>
      </c>
      <c r="O7" s="37" t="s">
        <v>46</v>
      </c>
      <c r="P7" s="23" t="s">
        <v>104</v>
      </c>
      <c r="Q7" s="23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34">
        <v>5</v>
      </c>
      <c r="C8" s="35" t="s">
        <v>66</v>
      </c>
      <c r="D8" s="35" t="s">
        <v>83</v>
      </c>
      <c r="E8" s="35"/>
      <c r="F8" s="35"/>
      <c r="G8" s="35" t="str">
        <f t="shared" si="0"/>
        <v/>
      </c>
      <c r="H8" s="37" t="s">
        <v>46</v>
      </c>
      <c r="I8" s="23" t="s">
        <v>104</v>
      </c>
      <c r="J8" s="37" t="s">
        <v>104</v>
      </c>
      <c r="K8" s="37" t="s">
        <v>104</v>
      </c>
      <c r="L8" s="23" t="s">
        <v>10</v>
      </c>
      <c r="M8" s="23" t="s">
        <v>10</v>
      </c>
      <c r="N8" s="23" t="s">
        <v>104</v>
      </c>
      <c r="O8" s="37" t="s">
        <v>104</v>
      </c>
      <c r="P8" s="23" t="s">
        <v>104</v>
      </c>
      <c r="Q8" s="23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34">
        <v>6</v>
      </c>
      <c r="C9" s="35" t="s">
        <v>80</v>
      </c>
      <c r="D9" s="35" t="s">
        <v>68</v>
      </c>
      <c r="E9" s="35"/>
      <c r="F9" s="35"/>
      <c r="G9" s="35" t="str">
        <f t="shared" si="0"/>
        <v/>
      </c>
      <c r="H9" s="37" t="s">
        <v>10</v>
      </c>
      <c r="I9" s="23" t="s">
        <v>46</v>
      </c>
      <c r="J9" s="37" t="s">
        <v>46</v>
      </c>
      <c r="K9" s="37" t="s">
        <v>46</v>
      </c>
      <c r="L9" s="23" t="s">
        <v>46</v>
      </c>
      <c r="M9" s="23" t="s">
        <v>46</v>
      </c>
      <c r="N9" s="23" t="s">
        <v>46</v>
      </c>
      <c r="O9" s="37" t="s">
        <v>46</v>
      </c>
      <c r="P9" s="23" t="s">
        <v>46</v>
      </c>
      <c r="Q9" s="23" t="s">
        <v>46</v>
      </c>
      <c r="R9" s="23" t="s">
        <v>46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39"/>
      <c r="B10" s="34">
        <v>7</v>
      </c>
      <c r="C10" s="35" t="s">
        <v>120</v>
      </c>
      <c r="D10" s="35" t="s">
        <v>67</v>
      </c>
      <c r="E10" s="35"/>
      <c r="F10" s="35"/>
      <c r="G10" s="35" t="str">
        <f t="shared" si="0"/>
        <v/>
      </c>
      <c r="H10" s="37" t="s">
        <v>10</v>
      </c>
      <c r="I10" s="23" t="s">
        <v>46</v>
      </c>
      <c r="J10" s="37" t="s">
        <v>46</v>
      </c>
      <c r="K10" s="37" t="s">
        <v>46</v>
      </c>
      <c r="L10" s="23" t="s">
        <v>46</v>
      </c>
      <c r="M10" s="23" t="s">
        <v>46</v>
      </c>
      <c r="N10" s="23" t="s">
        <v>46</v>
      </c>
      <c r="O10" s="37" t="s">
        <v>46</v>
      </c>
      <c r="P10" s="23" t="s">
        <v>46</v>
      </c>
      <c r="Q10" s="23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34">
        <v>8</v>
      </c>
      <c r="C11" s="35" t="s">
        <v>90</v>
      </c>
      <c r="D11" s="35" t="s">
        <v>89</v>
      </c>
      <c r="E11" s="35"/>
      <c r="F11" s="35"/>
      <c r="G11" s="35" t="str">
        <f t="shared" si="0"/>
        <v/>
      </c>
      <c r="H11" s="37" t="s">
        <v>46</v>
      </c>
      <c r="I11" s="23" t="s">
        <v>46</v>
      </c>
      <c r="J11" s="37" t="s">
        <v>46</v>
      </c>
      <c r="K11" s="37" t="s">
        <v>46</v>
      </c>
      <c r="L11" s="23" t="s">
        <v>46</v>
      </c>
      <c r="M11" s="23" t="s">
        <v>46</v>
      </c>
      <c r="N11" s="23" t="s">
        <v>46</v>
      </c>
      <c r="O11" s="37" t="s">
        <v>46</v>
      </c>
      <c r="P11" s="23" t="s">
        <v>10</v>
      </c>
      <c r="Q11" s="23" t="s">
        <v>46</v>
      </c>
      <c r="R11" s="23" t="s">
        <v>46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 t="s">
        <v>117</v>
      </c>
      <c r="B12" s="34">
        <v>9</v>
      </c>
      <c r="C12" s="35" t="s">
        <v>71</v>
      </c>
      <c r="D12" s="35" t="s">
        <v>81</v>
      </c>
      <c r="E12" s="35"/>
      <c r="F12" s="35"/>
      <c r="G12" s="35" t="str">
        <f t="shared" si="0"/>
        <v/>
      </c>
      <c r="H12" s="37" t="s">
        <v>46</v>
      </c>
      <c r="I12" s="23" t="s">
        <v>46</v>
      </c>
      <c r="J12" s="37" t="s">
        <v>10</v>
      </c>
      <c r="K12" s="37" t="s">
        <v>46</v>
      </c>
      <c r="L12" s="23" t="s">
        <v>46</v>
      </c>
      <c r="M12" s="23" t="s">
        <v>10</v>
      </c>
      <c r="N12" s="23" t="s">
        <v>104</v>
      </c>
      <c r="O12" s="37" t="s">
        <v>104</v>
      </c>
      <c r="P12" s="23" t="s">
        <v>104</v>
      </c>
      <c r="Q12" s="23" t="s">
        <v>46</v>
      </c>
      <c r="R12" s="23" t="s">
        <v>104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34">
        <v>10</v>
      </c>
      <c r="C13" s="35" t="s">
        <v>54</v>
      </c>
      <c r="D13" s="35" t="s">
        <v>121</v>
      </c>
      <c r="E13" s="35"/>
      <c r="F13" s="35"/>
      <c r="G13" s="35" t="str">
        <f t="shared" si="0"/>
        <v/>
      </c>
      <c r="H13" s="37" t="s">
        <v>46</v>
      </c>
      <c r="I13" s="23" t="s">
        <v>46</v>
      </c>
      <c r="J13" s="37" t="s">
        <v>46</v>
      </c>
      <c r="K13" s="37" t="s">
        <v>46</v>
      </c>
      <c r="L13" s="23" t="s">
        <v>46</v>
      </c>
      <c r="M13" s="23" t="s">
        <v>46</v>
      </c>
      <c r="N13" s="23" t="s">
        <v>46</v>
      </c>
      <c r="O13" s="37" t="s">
        <v>46</v>
      </c>
      <c r="P13" s="23" t="s">
        <v>46</v>
      </c>
      <c r="Q13" s="23" t="s">
        <v>104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34">
        <v>11</v>
      </c>
      <c r="C14" s="35" t="s">
        <v>88</v>
      </c>
      <c r="D14" s="35" t="s">
        <v>91</v>
      </c>
      <c r="E14" s="35"/>
      <c r="F14" s="35"/>
      <c r="G14" s="35" t="str">
        <f t="shared" si="0"/>
        <v/>
      </c>
      <c r="H14" s="37" t="s">
        <v>10</v>
      </c>
      <c r="I14" s="23" t="s">
        <v>10</v>
      </c>
      <c r="J14" s="37" t="s">
        <v>46</v>
      </c>
      <c r="K14" s="37" t="s">
        <v>46</v>
      </c>
      <c r="L14" s="23" t="s">
        <v>10</v>
      </c>
      <c r="M14" s="23" t="s">
        <v>46</v>
      </c>
      <c r="N14" s="23" t="s">
        <v>10</v>
      </c>
      <c r="O14" s="37" t="s">
        <v>46</v>
      </c>
      <c r="P14" s="23" t="s">
        <v>10</v>
      </c>
      <c r="Q14" s="23" t="s">
        <v>46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34">
        <v>12</v>
      </c>
      <c r="C15" s="35" t="s">
        <v>122</v>
      </c>
      <c r="D15" s="35" t="s">
        <v>72</v>
      </c>
      <c r="E15" s="35"/>
      <c r="F15" s="35"/>
      <c r="G15" s="35" t="str">
        <f t="shared" si="0"/>
        <v/>
      </c>
      <c r="H15" s="37" t="s">
        <v>104</v>
      </c>
      <c r="I15" s="23" t="s">
        <v>46</v>
      </c>
      <c r="J15" s="37" t="s">
        <v>104</v>
      </c>
      <c r="K15" s="37" t="s">
        <v>104</v>
      </c>
      <c r="L15" s="23" t="s">
        <v>10</v>
      </c>
      <c r="M15" s="23" t="s">
        <v>104</v>
      </c>
      <c r="N15" s="23" t="s">
        <v>104</v>
      </c>
      <c r="O15" s="37" t="s">
        <v>104</v>
      </c>
      <c r="P15" s="23" t="s">
        <v>104</v>
      </c>
      <c r="Q15" s="23" t="s">
        <v>104</v>
      </c>
      <c r="R15" s="23" t="s">
        <v>10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39"/>
      <c r="B16" s="34">
        <v>13</v>
      </c>
      <c r="C16" s="35" t="s">
        <v>84</v>
      </c>
      <c r="D16" s="35" t="s">
        <v>70</v>
      </c>
      <c r="E16" s="35"/>
      <c r="F16" s="35"/>
      <c r="G16" s="35" t="str">
        <f t="shared" si="0"/>
        <v/>
      </c>
      <c r="H16" s="37" t="s">
        <v>46</v>
      </c>
      <c r="I16" s="23" t="s">
        <v>46</v>
      </c>
      <c r="J16" s="37" t="s">
        <v>46</v>
      </c>
      <c r="K16" s="37" t="s">
        <v>46</v>
      </c>
      <c r="L16" s="23" t="s">
        <v>46</v>
      </c>
      <c r="M16" s="23" t="s">
        <v>46</v>
      </c>
      <c r="N16" s="23" t="s">
        <v>46</v>
      </c>
      <c r="O16" s="37" t="s">
        <v>46</v>
      </c>
      <c r="P16" s="23" t="s">
        <v>10</v>
      </c>
      <c r="Q16" s="23" t="s">
        <v>10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34">
        <v>14</v>
      </c>
      <c r="C17" s="35" t="s">
        <v>95</v>
      </c>
      <c r="D17" s="35" t="s">
        <v>123</v>
      </c>
      <c r="E17" s="35"/>
      <c r="F17" s="35"/>
      <c r="G17" s="35" t="str">
        <f t="shared" si="0"/>
        <v/>
      </c>
      <c r="H17" s="37" t="s">
        <v>46</v>
      </c>
      <c r="I17" s="23" t="s">
        <v>46</v>
      </c>
      <c r="J17" s="37" t="s">
        <v>46</v>
      </c>
      <c r="K17" s="37" t="s">
        <v>46</v>
      </c>
      <c r="L17" s="23" t="s">
        <v>46</v>
      </c>
      <c r="M17" s="23" t="s">
        <v>46</v>
      </c>
      <c r="N17" s="23" t="s">
        <v>46</v>
      </c>
      <c r="O17" s="37" t="s">
        <v>46</v>
      </c>
      <c r="P17" s="23" t="s">
        <v>46</v>
      </c>
      <c r="Q17" s="23" t="s">
        <v>10</v>
      </c>
      <c r="R17" s="23" t="s">
        <v>46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34">
        <v>15</v>
      </c>
      <c r="C18" s="36" t="s">
        <v>69</v>
      </c>
      <c r="D18" s="36" t="s">
        <v>86</v>
      </c>
      <c r="E18" s="35"/>
      <c r="F18" s="35"/>
      <c r="G18" s="35" t="str">
        <f t="shared" si="0"/>
        <v/>
      </c>
      <c r="H18" s="37" t="s">
        <v>10</v>
      </c>
      <c r="I18" s="23" t="s">
        <v>46</v>
      </c>
      <c r="J18" s="37" t="s">
        <v>46</v>
      </c>
      <c r="K18" s="37" t="s">
        <v>46</v>
      </c>
      <c r="L18" s="23" t="s">
        <v>46</v>
      </c>
      <c r="M18" s="23" t="s">
        <v>10</v>
      </c>
      <c r="N18" s="23" t="s">
        <v>46</v>
      </c>
      <c r="O18" s="37" t="s">
        <v>46</v>
      </c>
      <c r="P18" s="23" t="s">
        <v>46</v>
      </c>
      <c r="Q18" s="23"/>
      <c r="R18" s="23" t="s">
        <v>46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34">
        <v>16</v>
      </c>
      <c r="C19" s="36" t="s">
        <v>57</v>
      </c>
      <c r="D19" s="36" t="s">
        <v>85</v>
      </c>
      <c r="E19" s="35"/>
      <c r="F19" s="35"/>
      <c r="G19" s="35" t="str">
        <f t="shared" si="0"/>
        <v/>
      </c>
      <c r="H19" s="23" t="s">
        <v>46</v>
      </c>
      <c r="I19" s="23" t="s">
        <v>46</v>
      </c>
      <c r="J19" s="23" t="s">
        <v>10</v>
      </c>
      <c r="K19" s="23" t="s">
        <v>46</v>
      </c>
      <c r="L19" s="23" t="s">
        <v>46</v>
      </c>
      <c r="M19" s="23" t="s">
        <v>46</v>
      </c>
      <c r="N19" s="23" t="s">
        <v>46</v>
      </c>
      <c r="O19" s="23" t="s">
        <v>46</v>
      </c>
      <c r="P19" s="23" t="s">
        <v>104</v>
      </c>
      <c r="Q19" s="23"/>
      <c r="R19" s="23" t="s">
        <v>104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40" t="s">
        <v>14</v>
      </c>
      <c r="E20" s="41"/>
      <c r="F20" s="42"/>
      <c r="G20" s="2">
        <f>SUM(E4:F19)</f>
        <v>8</v>
      </c>
      <c r="H20" s="23">
        <v>52</v>
      </c>
      <c r="I20" s="23">
        <v>55</v>
      </c>
      <c r="J20" s="23">
        <v>35</v>
      </c>
      <c r="K20" s="23">
        <v>37</v>
      </c>
      <c r="L20" s="23">
        <v>42</v>
      </c>
      <c r="M20" s="23">
        <v>44</v>
      </c>
      <c r="N20" s="23">
        <v>45</v>
      </c>
      <c r="O20" s="23">
        <v>49</v>
      </c>
      <c r="P20" s="23">
        <v>45</v>
      </c>
      <c r="Q20" s="23">
        <v>45</v>
      </c>
      <c r="R20" s="23">
        <v>52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43" t="s">
        <v>15</v>
      </c>
      <c r="E21" s="41"/>
      <c r="F21" s="41"/>
      <c r="G21" s="42"/>
      <c r="H21" s="28">
        <f>SUM(H22:H25)</f>
        <v>56</v>
      </c>
      <c r="I21" s="28">
        <f>SUM(I22:I25)</f>
        <v>53</v>
      </c>
      <c r="J21" s="28">
        <f>SUM(J22:J25)</f>
        <v>73</v>
      </c>
      <c r="K21" s="28">
        <f>SUM(K22:K25)</f>
        <v>71</v>
      </c>
      <c r="L21" s="28">
        <f>SUM(L22:L25)</f>
        <v>66</v>
      </c>
      <c r="M21" s="28">
        <f>SUM(M22:M25)</f>
        <v>64</v>
      </c>
      <c r="N21" s="28">
        <f>SUM(N22:N25)</f>
        <v>63</v>
      </c>
      <c r="O21" s="28">
        <f>SUM(O22:O25)</f>
        <v>59</v>
      </c>
      <c r="P21" s="28">
        <f>SUM(P22:P25)</f>
        <v>63</v>
      </c>
      <c r="Q21" s="28">
        <f>SUM(Q22:Q25)</f>
        <v>63</v>
      </c>
      <c r="R21" s="28">
        <f>SUM(R22:R25)</f>
        <v>56</v>
      </c>
      <c r="S21" s="28">
        <f t="shared" ref="S21:AF21" si="1">SUM(S22:S25)</f>
        <v>92</v>
      </c>
      <c r="T21" s="28">
        <f t="shared" si="1"/>
        <v>92</v>
      </c>
      <c r="U21" s="28">
        <f t="shared" si="1"/>
        <v>92</v>
      </c>
      <c r="V21" s="28">
        <f t="shared" si="1"/>
        <v>92</v>
      </c>
      <c r="W21" s="28">
        <f t="shared" si="1"/>
        <v>92</v>
      </c>
      <c r="X21" s="28">
        <f t="shared" si="1"/>
        <v>92</v>
      </c>
      <c r="Y21" s="28">
        <f t="shared" si="1"/>
        <v>92</v>
      </c>
      <c r="Z21" s="28">
        <f t="shared" si="1"/>
        <v>92</v>
      </c>
      <c r="AA21" s="28">
        <f t="shared" si="1"/>
        <v>92</v>
      </c>
      <c r="AB21" s="28">
        <f t="shared" si="1"/>
        <v>92</v>
      </c>
      <c r="AC21" s="28">
        <f t="shared" si="1"/>
        <v>92</v>
      </c>
      <c r="AD21" s="28">
        <f t="shared" si="1"/>
        <v>92</v>
      </c>
      <c r="AE21" s="28">
        <f t="shared" si="1"/>
        <v>92</v>
      </c>
      <c r="AF21" s="28">
        <f t="shared" si="1"/>
        <v>92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2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0</v>
      </c>
      <c r="J22" s="3">
        <f t="shared" si="2"/>
        <v>73</v>
      </c>
      <c r="K22" s="3">
        <f t="shared" si="2"/>
        <v>71</v>
      </c>
      <c r="L22" s="3">
        <f t="shared" si="2"/>
        <v>0</v>
      </c>
      <c r="M22" s="3">
        <f t="shared" si="2"/>
        <v>0</v>
      </c>
      <c r="N22" s="3">
        <f t="shared" si="2"/>
        <v>0</v>
      </c>
      <c r="O22" s="3">
        <f t="shared" si="2"/>
        <v>0</v>
      </c>
      <c r="P22" s="3">
        <f t="shared" si="2"/>
        <v>0</v>
      </c>
      <c r="Q22" s="3">
        <f t="shared" si="2"/>
        <v>0</v>
      </c>
      <c r="R22" s="3">
        <f t="shared" si="2"/>
        <v>0</v>
      </c>
      <c r="S22" s="3">
        <f t="shared" si="2"/>
        <v>92</v>
      </c>
      <c r="T22" s="3">
        <f t="shared" si="2"/>
        <v>92</v>
      </c>
      <c r="U22" s="3">
        <f t="shared" si="2"/>
        <v>92</v>
      </c>
      <c r="V22" s="3">
        <f t="shared" si="2"/>
        <v>92</v>
      </c>
      <c r="W22" s="3">
        <f t="shared" si="2"/>
        <v>92</v>
      </c>
      <c r="X22" s="3">
        <f t="shared" si="2"/>
        <v>92</v>
      </c>
      <c r="Y22" s="3">
        <f t="shared" si="2"/>
        <v>92</v>
      </c>
      <c r="Z22" s="3">
        <f t="shared" si="2"/>
        <v>92</v>
      </c>
      <c r="AA22" s="3">
        <f t="shared" si="2"/>
        <v>92</v>
      </c>
      <c r="AB22" s="3">
        <f t="shared" si="2"/>
        <v>92</v>
      </c>
      <c r="AC22" s="3">
        <f t="shared" si="2"/>
        <v>92</v>
      </c>
      <c r="AD22" s="3">
        <f t="shared" si="2"/>
        <v>92</v>
      </c>
      <c r="AE22" s="3">
        <f t="shared" si="2"/>
        <v>92</v>
      </c>
      <c r="AF22" s="3">
        <f t="shared" si="2"/>
        <v>92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3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56</v>
      </c>
      <c r="I23" s="3">
        <f t="shared" si="3"/>
        <v>53</v>
      </c>
      <c r="J23" s="3">
        <f t="shared" si="3"/>
        <v>0</v>
      </c>
      <c r="K23" s="3">
        <f t="shared" si="3"/>
        <v>0</v>
      </c>
      <c r="L23" s="3">
        <f t="shared" si="3"/>
        <v>66</v>
      </c>
      <c r="M23" s="3">
        <f t="shared" si="3"/>
        <v>64</v>
      </c>
      <c r="N23" s="3">
        <f t="shared" si="3"/>
        <v>63</v>
      </c>
      <c r="O23" s="3">
        <f t="shared" si="3"/>
        <v>59</v>
      </c>
      <c r="P23" s="3">
        <f t="shared" si="3"/>
        <v>63</v>
      </c>
      <c r="Q23" s="3">
        <f t="shared" si="3"/>
        <v>63</v>
      </c>
      <c r="R23" s="3">
        <f t="shared" si="3"/>
        <v>56</v>
      </c>
      <c r="S23" s="3">
        <f t="shared" si="3"/>
        <v>0</v>
      </c>
      <c r="T23" s="3">
        <f t="shared" si="3"/>
        <v>0</v>
      </c>
      <c r="U23" s="3">
        <f t="shared" si="3"/>
        <v>0</v>
      </c>
      <c r="V23" s="3">
        <f t="shared" si="3"/>
        <v>0</v>
      </c>
      <c r="W23" s="3">
        <f t="shared" si="3"/>
        <v>0</v>
      </c>
      <c r="X23" s="3">
        <f t="shared" si="3"/>
        <v>0</v>
      </c>
      <c r="Y23" s="3">
        <f t="shared" si="3"/>
        <v>0</v>
      </c>
      <c r="Z23" s="3">
        <f t="shared" si="3"/>
        <v>0</v>
      </c>
      <c r="AA23" s="3">
        <f t="shared" si="3"/>
        <v>0</v>
      </c>
      <c r="AB23" s="3">
        <f t="shared" si="3"/>
        <v>0</v>
      </c>
      <c r="AC23" s="3">
        <f t="shared" si="3"/>
        <v>0</v>
      </c>
      <c r="AD23" s="3">
        <f t="shared" si="3"/>
        <v>0</v>
      </c>
      <c r="AE23" s="3">
        <f t="shared" si="3"/>
        <v>0</v>
      </c>
      <c r="AF23" s="3">
        <f t="shared" si="3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4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4"/>
        <v>0</v>
      </c>
      <c r="J24" s="3">
        <f t="shared" si="4"/>
        <v>0</v>
      </c>
      <c r="K24" s="3">
        <f t="shared" si="4"/>
        <v>0</v>
      </c>
      <c r="L24" s="3">
        <f t="shared" si="4"/>
        <v>0</v>
      </c>
      <c r="M24" s="3">
        <f t="shared" si="4"/>
        <v>0</v>
      </c>
      <c r="N24" s="3">
        <f t="shared" si="4"/>
        <v>0</v>
      </c>
      <c r="O24" s="3">
        <f t="shared" si="4"/>
        <v>0</v>
      </c>
      <c r="P24" s="3">
        <f t="shared" si="4"/>
        <v>0</v>
      </c>
      <c r="Q24" s="3">
        <f t="shared" si="4"/>
        <v>0</v>
      </c>
      <c r="R24" s="3">
        <f t="shared" si="4"/>
        <v>0</v>
      </c>
      <c r="S24" s="3">
        <f t="shared" si="4"/>
        <v>0</v>
      </c>
      <c r="T24" s="3">
        <f t="shared" si="4"/>
        <v>0</v>
      </c>
      <c r="U24" s="3">
        <f t="shared" si="4"/>
        <v>0</v>
      </c>
      <c r="V24" s="3">
        <f t="shared" si="4"/>
        <v>0</v>
      </c>
      <c r="W24" s="3">
        <f t="shared" si="4"/>
        <v>0</v>
      </c>
      <c r="X24" s="3">
        <f t="shared" si="4"/>
        <v>0</v>
      </c>
      <c r="Y24" s="3">
        <f t="shared" si="4"/>
        <v>0</v>
      </c>
      <c r="Z24" s="3">
        <f t="shared" si="4"/>
        <v>0</v>
      </c>
      <c r="AA24" s="3">
        <f t="shared" si="4"/>
        <v>0</v>
      </c>
      <c r="AB24" s="3">
        <f t="shared" si="4"/>
        <v>0</v>
      </c>
      <c r="AC24" s="3">
        <f t="shared" si="4"/>
        <v>0</v>
      </c>
      <c r="AD24" s="3">
        <f t="shared" si="4"/>
        <v>0</v>
      </c>
      <c r="AE24" s="3">
        <f t="shared" si="4"/>
        <v>0</v>
      </c>
      <c r="AF24" s="3">
        <f t="shared" si="4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5">IF($G$20-H20=-96,4,IF($G$20-H20=97,3,IF($G$20-H20=-97,3,IF($G$20-H20=98,2,IF($G$20-H20=-98,2,IF($G$20-H20=99,1,IF($G$20-H20=-99,1,IF($G$20-H20=100,0,IF($G$20-H20=-100,0,0)))))))))</f>
        <v>0</v>
      </c>
      <c r="I25" s="3">
        <f t="shared" si="5"/>
        <v>0</v>
      </c>
      <c r="J25" s="3">
        <f t="shared" si="5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>
        <f t="shared" si="5"/>
        <v>0</v>
      </c>
      <c r="P25" s="3">
        <f t="shared" si="5"/>
        <v>0</v>
      </c>
      <c r="Q25" s="3">
        <f t="shared" si="5"/>
        <v>0</v>
      </c>
      <c r="R25" s="3">
        <f t="shared" si="5"/>
        <v>0</v>
      </c>
      <c r="S25" s="3">
        <f t="shared" si="5"/>
        <v>0</v>
      </c>
      <c r="T25" s="3">
        <f t="shared" si="5"/>
        <v>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  <c r="AC25" s="3">
        <f t="shared" si="5"/>
        <v>0</v>
      </c>
      <c r="AD25" s="3">
        <f t="shared" si="5"/>
        <v>0</v>
      </c>
      <c r="AE25" s="3">
        <f t="shared" si="5"/>
        <v>0</v>
      </c>
      <c r="AF25" s="3">
        <f t="shared" si="5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sortState xmlns:xlrd2="http://schemas.microsoft.com/office/spreadsheetml/2017/richdata2" columnSort="1" ref="H2:R21">
    <sortCondition descending="1" ref="H3:R3"/>
    <sortCondition descending="1" ref="H21:R21"/>
  </sortState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2026-06-30T12:23:35Z</dcterms:modified>
</cp:coreProperties>
</file>