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139" documentId="8_{B808BCDA-0D93-4F95-9A36-65794598B9DF}" xr6:coauthVersionLast="47" xr6:coauthVersionMax="47" xr10:uidLastSave="{FE321FFC-59DF-4EA8-AD41-4AEF49C57A57}"/>
  <bookViews>
    <workbookView xWindow="-108" yWindow="-108" windowWidth="23256" windowHeight="13896" xr2:uid="{00000000-000D-0000-FFFF-FFFF00000000}"/>
  </bookViews>
  <sheets>
    <sheet name="FIFA WORLD CUP MEXICO 2026" sheetId="1" r:id="rId1"/>
    <sheet name="16os" sheetId="5" r:id="rId2"/>
    <sheet name="Hoja2" sheetId="2" state="hidden" r:id="rId3"/>
    <sheet name="Hoja3" sheetId="3" state="hidden" r:id="rId4"/>
    <sheet name="pagos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4" i="5"/>
  <c r="G76" i="1"/>
  <c r="H3" i="5" l="1" a="1"/>
  <c r="K3" i="5" a="1"/>
  <c r="J3" i="5" a="1"/>
  <c r="L3" i="5" a="1"/>
  <c r="I3" i="5" a="1"/>
  <c r="O3" i="5" a="1"/>
  <c r="N3" i="5" a="1"/>
  <c r="Z3" i="5"/>
  <c r="M3" i="5" a="1"/>
  <c r="R3" i="5" a="1"/>
  <c r="Q3" i="5" a="1"/>
  <c r="P3" i="5" a="1"/>
  <c r="Y3" i="5"/>
  <c r="X3" i="5"/>
  <c r="W3" i="5"/>
  <c r="V3" i="5"/>
  <c r="U3" i="5"/>
  <c r="T3" i="5"/>
  <c r="S3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O24" i="5"/>
  <c r="K24" i="5"/>
  <c r="H24" i="5"/>
  <c r="AD23" i="5"/>
  <c r="Z23" i="5"/>
  <c r="W23" i="5"/>
  <c r="T23" i="5"/>
  <c r="P23" i="5"/>
  <c r="N23" i="5"/>
  <c r="K23" i="5"/>
  <c r="I23" i="5"/>
  <c r="AB22" i="5"/>
  <c r="W22" i="5"/>
  <c r="Q22" i="5"/>
  <c r="K22" i="5"/>
  <c r="R25" i="5"/>
  <c r="Q25" i="5"/>
  <c r="P25" i="5"/>
  <c r="O25" i="5"/>
  <c r="N25" i="5"/>
  <c r="M25" i="5"/>
  <c r="L25" i="5"/>
  <c r="K25" i="5"/>
  <c r="J25" i="5"/>
  <c r="I25" i="5"/>
  <c r="H25" i="5"/>
  <c r="AF24" i="5"/>
  <c r="AE24" i="5"/>
  <c r="AD24" i="5"/>
  <c r="AC24" i="5"/>
  <c r="P24" i="5"/>
  <c r="L24" i="5"/>
  <c r="J24" i="5"/>
  <c r="AF23" i="5"/>
  <c r="AB23" i="5"/>
  <c r="Y23" i="5"/>
  <c r="U23" i="5"/>
  <c r="M23" i="5"/>
  <c r="AE22" i="5"/>
  <c r="Y22" i="5"/>
  <c r="U22" i="5"/>
  <c r="N22" i="5"/>
  <c r="I22" i="5"/>
  <c r="AD3" i="5"/>
  <c r="AA3" i="5"/>
  <c r="AB24" i="5"/>
  <c r="AA24" i="5"/>
  <c r="Z24" i="5"/>
  <c r="Y24" i="5"/>
  <c r="X24" i="5"/>
  <c r="W24" i="5"/>
  <c r="V24" i="5"/>
  <c r="U24" i="5"/>
  <c r="T24" i="5"/>
  <c r="S24" i="5"/>
  <c r="R24" i="5"/>
  <c r="Q24" i="5"/>
  <c r="N24" i="5"/>
  <c r="I24" i="5"/>
  <c r="AE23" i="5"/>
  <c r="AA23" i="5"/>
  <c r="X23" i="5"/>
  <c r="R23" i="5"/>
  <c r="O23" i="5"/>
  <c r="J23" i="5"/>
  <c r="AC22" i="5"/>
  <c r="T22" i="5"/>
  <c r="O22" i="5"/>
  <c r="M24" i="5"/>
  <c r="AC23" i="5"/>
  <c r="V23" i="5"/>
  <c r="S23" i="5"/>
  <c r="Q23" i="5"/>
  <c r="AD22" i="5"/>
  <c r="Z22" i="5"/>
  <c r="S22" i="5"/>
  <c r="L22" i="5"/>
  <c r="H22" i="5"/>
  <c r="AC3" i="5"/>
  <c r="L23" i="5"/>
  <c r="AF3" i="5"/>
  <c r="H23" i="5"/>
  <c r="AF22" i="5"/>
  <c r="AA22" i="5"/>
  <c r="X22" i="5"/>
  <c r="V22" i="5"/>
  <c r="P22" i="5"/>
  <c r="M22" i="5"/>
  <c r="J22" i="5"/>
  <c r="R22" i="5"/>
  <c r="AE3" i="5"/>
  <c r="AB3" i="5"/>
  <c r="I7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AD21" i="5" l="1"/>
  <c r="AF21" i="5"/>
  <c r="Z21" i="5"/>
  <c r="V21" i="5"/>
  <c r="I21" i="5"/>
  <c r="AC21" i="5"/>
  <c r="T21" i="5"/>
  <c r="O21" i="5"/>
  <c r="L21" i="5"/>
  <c r="AA21" i="5"/>
  <c r="X21" i="5"/>
  <c r="H21" i="5"/>
  <c r="P21" i="5"/>
  <c r="K21" i="5"/>
  <c r="W21" i="5"/>
  <c r="N21" i="5"/>
  <c r="Y21" i="5"/>
  <c r="AE21" i="5"/>
  <c r="U21" i="5"/>
  <c r="M21" i="5"/>
  <c r="J21" i="5"/>
  <c r="R21" i="5"/>
  <c r="S21" i="5"/>
  <c r="AB21" i="5"/>
  <c r="Q21" i="5"/>
  <c r="H3" i="1" a="1"/>
  <c r="J3" i="1" a="1"/>
  <c r="N3" i="1" a="1"/>
  <c r="R3" i="1" a="1"/>
  <c r="O3" i="1" a="1"/>
  <c r="L3" i="1" a="1"/>
  <c r="M3" i="1" a="1"/>
  <c r="I3" i="1" a="1"/>
  <c r="P3" i="1" a="1"/>
  <c r="K3" i="1" a="1"/>
  <c r="Q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J77" i="1" l="1"/>
  <c r="Z77" i="1"/>
  <c r="P77" i="1"/>
  <c r="AB77" i="1"/>
  <c r="U77" i="1"/>
  <c r="R77" i="1"/>
  <c r="V77" i="1"/>
  <c r="V3" i="1" s="1"/>
  <c r="S77" i="1"/>
  <c r="O77" i="1"/>
  <c r="K77" i="1"/>
  <c r="X77" i="1"/>
  <c r="M77" i="1"/>
  <c r="AF77" i="1"/>
  <c r="AF3" i="1" s="1"/>
  <c r="Q77" i="1"/>
  <c r="AC77" i="1"/>
  <c r="N77" i="1"/>
  <c r="T77" i="1"/>
  <c r="L77" i="1"/>
  <c r="I77" i="1"/>
  <c r="H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<sst xmlns="http://schemas.openxmlformats.org/spreadsheetml/2006/main" count="1720" uniqueCount="118">
  <si>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</si>
  <si>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</si>
  <si>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</si>
  <si>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</si>
  <si>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</si>
  <si>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</si>
  <si>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</si>
  <si>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</si>
  <si>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</si>
  <si>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</si>
  <si>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</si>
  <si>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</si>
  <si>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</si>
  <si>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</si>
  <si>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</si>
  <si>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</si>
  <si>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</si>
  <si>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</si>
  <si>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</si>
  <si>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</si>
  <si>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</si>
  <si>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</si>
  <si>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</si>
  <si>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</si>
  <si>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</si>
  <si>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</si>
  <si>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</si>
  <si>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</si>
  <si>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</si>
  <si>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</si>
  <si>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</si>
  <si>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</si>
  <si>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</si>
  <si>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</si>
  <si>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</si>
  <si>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</si>
  <si>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</si>
  <si>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</si>
  <si>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</si>
  <si>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</si>
  <si>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</si>
  <si>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</si>
  <si>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</si>
  <si>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</si>
  <si>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</si>
  <si>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</si>
  <si>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</si>
  <si>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</si>
  <si>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</si>
  <si>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</si>
  <si>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</si>
  <si>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</si>
  <si>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</si>
  <si>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</si>
  <si>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</si>
  <si>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</si>
  <si>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</si>
  <si>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</si>
  <si>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</si>
  <si>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</si>
  <si>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</si>
  <si>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</si>
  <si>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</si>
  <si>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</si>
  <si>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</si>
  <si>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</si>
  <si>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</si>
  <si>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</si>
  <si>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</si>
  <si>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</si>
  <si>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</si>
  <si>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</si>
  <si>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</si>
  <si>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</si>
  <si>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</si>
  <si>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</si>
  <si>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</si>
  <si>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</si>
  <si>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</si>
  <si>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</si>
  <si>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</si>
  <si>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</si>
  <si>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</si>
  <si>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</si>
  <si>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</si>
  <si>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</si>
  <si>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</si>
  <si>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</si>
  <si>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</si>
  <si>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</si>
  <si>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</si>
  <si>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</si>
  <si>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</si>
  <si>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</si>
  <si>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</si>
  <si>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</si>
  <si>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</si>
  <si>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</si>
  <si>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</si>
  <si>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</si>
  <si>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</si>
  <si>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</si>
  <si>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</si>
  <si>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</si>
  <si>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</si>
  <si>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</si>
  <si>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</si>
  <si>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</si>
  <si>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</si>
  <si>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</si>
  <si>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</si>
  <si>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</si>
  <si>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</si>
  <si>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</si>
  <si>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</si>
  <si>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</si>
  <si>
    <t xml:space="preserve">LLAVE SUPERIOR </t>
  </si>
  <si>
    <t>LLAVE INFERIOR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</si>
</sst>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  <font>
      <b/>
      <sz val="6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textRotation="255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2"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AI8" sqref="AI8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36" t="s">
        <v>101</v>
      </c>
      <c r="B1" s="37"/>
      <c r="C1" s="37"/>
      <c r="D1" s="37"/>
      <c r="E1" s="37"/>
      <c r="F1" s="37"/>
      <c r="G1" s="38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50" t="s">
        <v>47</v>
      </c>
      <c r="B2" s="50"/>
      <c r="C2" s="51"/>
      <c r="D2" s="52" t="s">
        <v>103</v>
      </c>
      <c r="E2" s="53"/>
      <c r="F2" s="53"/>
      <c r="G2" s="54"/>
      <c r="H2" s="29" t="s">
        <v>113</v>
      </c>
      <c r="I2" s="29" t="s">
        <v>102</v>
      </c>
      <c r="J2" s="30" t="s">
        <v>106</v>
      </c>
      <c r="K2" s="29" t="s">
        <v>111</v>
      </c>
      <c r="L2" s="29" t="s">
        <v>114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39" t="s">
        <v>4</v>
      </c>
      <c r="F3" s="40"/>
      <c r="G3" s="22" t="s">
        <v>5</v>
      </c>
      <c r="H3" s="14" cm="1">
        <f t="array" ref="H3">SUMPRODUCT(($G$4:$G$75=H4:H75)*($G$4:$G$75&lt;&gt;""))</f>
        <v>31</v>
      </c>
      <c r="I3" s="14" cm="1">
        <f t="array" ref="I3">SUMPRODUCT(($G$4:$G$75=I4:I75)*($G$4:$G$75&lt;&gt;""))</f>
        <v>29</v>
      </c>
      <c r="J3" s="14" cm="1">
        <f t="array" ref="J3">SUMPRODUCT(($G$4:$G$75=J4:J75)*($G$4:$G$75&lt;&gt;""))</f>
        <v>29</v>
      </c>
      <c r="K3" s="14" cm="1">
        <f t="array" ref="K3">SUMPRODUCT(($G$4:$G$75=K4:K75)*($G$4:$G$75&lt;&gt;""))</f>
        <v>29</v>
      </c>
      <c r="L3" s="14" cm="1">
        <f t="array" ref="L3">SUMPRODUCT(($G$4:$G$75=L4:L75)*($G$4:$G$75&lt;&gt;""))</f>
        <v>28</v>
      </c>
      <c r="M3" s="14" cm="1">
        <f t="array" ref="M3">SUMPRODUCT(($G$4:$G$75=M4:M75)*($G$4:$G$75&lt;&gt;""))</f>
        <v>27</v>
      </c>
      <c r="N3" s="14" cm="1">
        <f t="array" ref="N3">SUMPRODUCT(($G$4:$G$75=N4:N75)*($G$4:$G$75&lt;&gt;""))</f>
        <v>27</v>
      </c>
      <c r="O3" s="14" cm="1">
        <f t="array" ref="O3">SUMPRODUCT(($G$4:$G$75=O4:O75)*($G$4:$G$75&lt;&gt;""))</f>
        <v>25</v>
      </c>
      <c r="P3" s="14" cm="1">
        <f t="array" ref="P3">SUMPRODUCT(($G$4:$G$75=P4:P75)*($G$4:$G$75&lt;&gt;""))</f>
        <v>24</v>
      </c>
      <c r="Q3" s="14" cm="1">
        <f t="array" ref="Q3">SUMPRODUCT(($G$4:$G$75=Q4:Q75)*($G$4:$G$75&lt;&gt;""))</f>
        <v>22</v>
      </c>
      <c r="R3" s="14" cm="1">
        <f t="array" ref="R3">SUMPRODUCT(($G$4:$G$75=R4:R75)*($G$4:$G$75&lt;&gt;""))</f>
        <v>18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12</v>
      </c>
      <c r="T3" s="14">
        <f t="shared" si="0"/>
        <v>12</v>
      </c>
      <c r="U3" s="14">
        <f t="shared" si="0"/>
        <v>12</v>
      </c>
      <c r="V3" s="14">
        <f t="shared" si="0"/>
        <v>12</v>
      </c>
      <c r="W3" s="14">
        <f t="shared" si="0"/>
        <v>12</v>
      </c>
      <c r="X3" s="14">
        <f t="shared" si="0"/>
        <v>12</v>
      </c>
      <c r="Y3" s="14">
        <f t="shared" si="0"/>
        <v>12</v>
      </c>
      <c r="Z3" s="14">
        <f t="shared" si="0"/>
        <v>12</v>
      </c>
      <c r="AA3" s="14">
        <f t="shared" si="0"/>
        <v>12</v>
      </c>
      <c r="AB3" s="14">
        <f t="shared" si="0"/>
        <v>12</v>
      </c>
      <c r="AC3" s="14">
        <f t="shared" si="0"/>
        <v>12</v>
      </c>
      <c r="AD3" s="14">
        <f t="shared" si="0"/>
        <v>12</v>
      </c>
      <c r="AE3" s="14">
        <f t="shared" si="0"/>
        <v>12</v>
      </c>
      <c r="AF3" s="14">
        <f t="shared" si="0"/>
        <v>12</v>
      </c>
    </row>
    <row r="4" spans="1:32" ht="15.6" x14ac:dyDescent="0.3">
      <c r="A4" s="41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3" t="s">
        <v>46</v>
      </c>
      <c r="I4" s="23" t="s">
        <v>46</v>
      </c>
      <c r="J4" s="24" t="s">
        <v>46</v>
      </c>
      <c r="K4" s="23" t="s">
        <v>46</v>
      </c>
      <c r="L4" s="23" t="s">
        <v>46</v>
      </c>
      <c r="M4" s="24" t="s">
        <v>46</v>
      </c>
      <c r="N4" s="23" t="s">
        <v>46</v>
      </c>
      <c r="O4" s="23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42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3" t="s">
        <v>46</v>
      </c>
      <c r="I5" s="23" t="s">
        <v>46</v>
      </c>
      <c r="J5" s="24" t="s">
        <v>46</v>
      </c>
      <c r="K5" s="23" t="s">
        <v>46</v>
      </c>
      <c r="L5" s="23" t="s">
        <v>104</v>
      </c>
      <c r="M5" s="24" t="s">
        <v>46</v>
      </c>
      <c r="N5" s="23" t="s">
        <v>10</v>
      </c>
      <c r="O5" s="23" t="s">
        <v>10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42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3" t="s">
        <v>46</v>
      </c>
      <c r="I6" s="23" t="s">
        <v>46</v>
      </c>
      <c r="J6" s="24" t="s">
        <v>46</v>
      </c>
      <c r="K6" s="23" t="s">
        <v>10</v>
      </c>
      <c r="L6" s="23" t="s">
        <v>46</v>
      </c>
      <c r="M6" s="24" t="s">
        <v>10</v>
      </c>
      <c r="N6" s="23" t="s">
        <v>46</v>
      </c>
      <c r="O6" s="23" t="s">
        <v>46</v>
      </c>
      <c r="P6" s="24" t="s">
        <v>110</v>
      </c>
      <c r="Q6" s="24" t="s">
        <v>104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42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3" t="s">
        <v>10</v>
      </c>
      <c r="I7" s="23" t="s">
        <v>46</v>
      </c>
      <c r="J7" s="24" t="s">
        <v>10</v>
      </c>
      <c r="K7" s="23" t="s">
        <v>46</v>
      </c>
      <c r="L7" s="23" t="s">
        <v>46</v>
      </c>
      <c r="M7" s="24" t="s">
        <v>46</v>
      </c>
      <c r="N7" s="23" t="s">
        <v>46</v>
      </c>
      <c r="O7" s="23" t="s">
        <v>46</v>
      </c>
      <c r="P7" s="24" t="s">
        <v>46</v>
      </c>
      <c r="Q7" s="24" t="s">
        <v>10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42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/>
      </c>
      <c r="H8" s="23" t="s">
        <v>46</v>
      </c>
      <c r="I8" s="23" t="s">
        <v>10</v>
      </c>
      <c r="J8" s="24" t="s">
        <v>104</v>
      </c>
      <c r="K8" s="23" t="s">
        <v>104</v>
      </c>
      <c r="L8" s="23" t="s">
        <v>104</v>
      </c>
      <c r="M8" s="24" t="s">
        <v>10</v>
      </c>
      <c r="N8" s="23" t="s">
        <v>104</v>
      </c>
      <c r="O8" s="23" t="s">
        <v>104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3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/>
      </c>
      <c r="H9" s="23" t="s">
        <v>10</v>
      </c>
      <c r="I9" s="23" t="s">
        <v>104</v>
      </c>
      <c r="J9" s="24" t="s">
        <v>46</v>
      </c>
      <c r="K9" s="23" t="s">
        <v>104</v>
      </c>
      <c r="L9" s="23" t="s">
        <v>10</v>
      </c>
      <c r="M9" s="24" t="s">
        <v>104</v>
      </c>
      <c r="N9" s="23" t="s">
        <v>104</v>
      </c>
      <c r="O9" s="23" t="s">
        <v>10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48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3" t="s">
        <v>10</v>
      </c>
      <c r="I10" s="23" t="s">
        <v>46</v>
      </c>
      <c r="J10" s="24" t="s">
        <v>10</v>
      </c>
      <c r="K10" s="23" t="s">
        <v>10</v>
      </c>
      <c r="L10" s="23" t="s">
        <v>46</v>
      </c>
      <c r="M10" s="24" t="s">
        <v>10</v>
      </c>
      <c r="N10" s="23" t="s">
        <v>46</v>
      </c>
      <c r="O10" s="23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42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3" t="s">
        <v>10</v>
      </c>
      <c r="I11" s="23" t="s">
        <v>104</v>
      </c>
      <c r="J11" s="24" t="s">
        <v>10</v>
      </c>
      <c r="K11" s="23" t="s">
        <v>104</v>
      </c>
      <c r="L11" s="23" t="s">
        <v>104</v>
      </c>
      <c r="M11" s="24" t="s">
        <v>46</v>
      </c>
      <c r="N11" s="23" t="s">
        <v>104</v>
      </c>
      <c r="O11" s="23" t="s">
        <v>104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42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3" t="s">
        <v>46</v>
      </c>
      <c r="I12" s="23" t="s">
        <v>46</v>
      </c>
      <c r="J12" s="24" t="s">
        <v>46</v>
      </c>
      <c r="K12" s="23" t="s">
        <v>46</v>
      </c>
      <c r="L12" s="23" t="s">
        <v>46</v>
      </c>
      <c r="M12" s="24" t="s">
        <v>46</v>
      </c>
      <c r="N12" s="23" t="s">
        <v>46</v>
      </c>
      <c r="O12" s="23" t="s">
        <v>104</v>
      </c>
      <c r="P12" s="24" t="s">
        <v>46</v>
      </c>
      <c r="Q12" s="24" t="s">
        <v>10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42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3" t="s">
        <v>46</v>
      </c>
      <c r="I13" s="23" t="s">
        <v>46</v>
      </c>
      <c r="J13" s="24" t="s">
        <v>46</v>
      </c>
      <c r="K13" s="23" t="s">
        <v>46</v>
      </c>
      <c r="L13" s="23" t="s">
        <v>46</v>
      </c>
      <c r="M13" s="24" t="s">
        <v>46</v>
      </c>
      <c r="N13" s="23" t="s">
        <v>46</v>
      </c>
      <c r="O13" s="23" t="s">
        <v>46</v>
      </c>
      <c r="P13" s="24" t="s">
        <v>46</v>
      </c>
      <c r="Q13" s="24" t="s">
        <v>10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42"/>
      <c r="B14" s="7">
        <v>11</v>
      </c>
      <c r="C14" s="8" t="s">
        <v>57</v>
      </c>
      <c r="D14" s="8" t="s">
        <v>52</v>
      </c>
      <c r="E14" s="8"/>
      <c r="F14" s="8"/>
      <c r="G14" s="7" t="str">
        <f t="shared" si="1"/>
        <v/>
      </c>
      <c r="H14" s="23" t="s">
        <v>104</v>
      </c>
      <c r="I14" s="23" t="s">
        <v>10</v>
      </c>
      <c r="J14" s="24" t="s">
        <v>46</v>
      </c>
      <c r="K14" s="23" t="s">
        <v>46</v>
      </c>
      <c r="L14" s="23" t="s">
        <v>10</v>
      </c>
      <c r="M14" s="24" t="s">
        <v>104</v>
      </c>
      <c r="N14" s="23" t="s">
        <v>10</v>
      </c>
      <c r="O14" s="23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3"/>
      <c r="B15" s="7">
        <v>12</v>
      </c>
      <c r="C15" s="8" t="s">
        <v>53</v>
      </c>
      <c r="D15" s="8" t="s">
        <v>56</v>
      </c>
      <c r="E15" s="8"/>
      <c r="F15" s="8"/>
      <c r="G15" s="7" t="str">
        <f t="shared" si="1"/>
        <v/>
      </c>
      <c r="H15" s="23" t="s">
        <v>104</v>
      </c>
      <c r="I15" s="23" t="s">
        <v>46</v>
      </c>
      <c r="J15" s="24" t="s">
        <v>46</v>
      </c>
      <c r="K15" s="23" t="s">
        <v>10</v>
      </c>
      <c r="L15" s="23" t="s">
        <v>10</v>
      </c>
      <c r="M15" s="24" t="s">
        <v>46</v>
      </c>
      <c r="N15" s="23" t="s">
        <v>46</v>
      </c>
      <c r="O15" s="23" t="s">
        <v>104</v>
      </c>
      <c r="P15" s="24" t="s">
        <v>10</v>
      </c>
      <c r="Q15" s="24" t="s">
        <v>104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49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3" t="s">
        <v>46</v>
      </c>
      <c r="I16" s="23" t="s">
        <v>46</v>
      </c>
      <c r="J16" s="24" t="s">
        <v>46</v>
      </c>
      <c r="K16" s="23" t="s">
        <v>10</v>
      </c>
      <c r="L16" s="23" t="s">
        <v>46</v>
      </c>
      <c r="M16" s="24" t="s">
        <v>46</v>
      </c>
      <c r="N16" s="23" t="s">
        <v>46</v>
      </c>
      <c r="O16" s="23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42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3" t="s">
        <v>104</v>
      </c>
      <c r="I17" s="23" t="s">
        <v>104</v>
      </c>
      <c r="J17" s="24" t="s">
        <v>104</v>
      </c>
      <c r="K17" s="23" t="s">
        <v>104</v>
      </c>
      <c r="L17" s="23" t="s">
        <v>104</v>
      </c>
      <c r="M17" s="24" t="s">
        <v>104</v>
      </c>
      <c r="N17" s="23" t="s">
        <v>104</v>
      </c>
      <c r="O17" s="23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42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3" t="s">
        <v>104</v>
      </c>
      <c r="I18" s="23" t="s">
        <v>104</v>
      </c>
      <c r="J18" s="24" t="s">
        <v>104</v>
      </c>
      <c r="K18" s="23" t="s">
        <v>104</v>
      </c>
      <c r="L18" s="23" t="s">
        <v>46</v>
      </c>
      <c r="M18" s="24" t="s">
        <v>46</v>
      </c>
      <c r="N18" s="23" t="s">
        <v>104</v>
      </c>
      <c r="O18" s="23" t="s">
        <v>104</v>
      </c>
      <c r="P18" s="24" t="s">
        <v>46</v>
      </c>
      <c r="Q18" s="24" t="s">
        <v>10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42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3" t="s">
        <v>46</v>
      </c>
      <c r="I19" s="23" t="s">
        <v>46</v>
      </c>
      <c r="J19" s="24" t="s">
        <v>46</v>
      </c>
      <c r="K19" s="23" t="s">
        <v>46</v>
      </c>
      <c r="L19" s="23" t="s">
        <v>46</v>
      </c>
      <c r="M19" s="24" t="s">
        <v>46</v>
      </c>
      <c r="N19" s="23" t="s">
        <v>46</v>
      </c>
      <c r="O19" s="23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42"/>
      <c r="B20" s="7">
        <v>17</v>
      </c>
      <c r="C20" s="9" t="s">
        <v>60</v>
      </c>
      <c r="D20" s="9" t="s">
        <v>58</v>
      </c>
      <c r="E20" s="9"/>
      <c r="F20" s="9"/>
      <c r="G20" s="7" t="str">
        <f t="shared" si="1"/>
        <v/>
      </c>
      <c r="H20" s="23" t="s">
        <v>104</v>
      </c>
      <c r="I20" s="23" t="s">
        <v>104</v>
      </c>
      <c r="J20" s="24" t="s">
        <v>104</v>
      </c>
      <c r="K20" s="23" t="s">
        <v>104</v>
      </c>
      <c r="L20" s="23" t="s">
        <v>104</v>
      </c>
      <c r="M20" s="24" t="s">
        <v>104</v>
      </c>
      <c r="N20" s="23" t="s">
        <v>104</v>
      </c>
      <c r="O20" s="23" t="s">
        <v>104</v>
      </c>
      <c r="P20" s="24" t="s">
        <v>46</v>
      </c>
      <c r="Q20" s="24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3"/>
      <c r="B21" s="7">
        <v>18</v>
      </c>
      <c r="C21" s="9" t="s">
        <v>59</v>
      </c>
      <c r="D21" s="9" t="s">
        <v>97</v>
      </c>
      <c r="E21" s="9"/>
      <c r="F21" s="9"/>
      <c r="G21" s="7" t="str">
        <f t="shared" si="1"/>
        <v/>
      </c>
      <c r="H21" s="23" t="s">
        <v>46</v>
      </c>
      <c r="I21" s="23" t="s">
        <v>46</v>
      </c>
      <c r="J21" s="24" t="s">
        <v>46</v>
      </c>
      <c r="K21" s="23" t="s">
        <v>46</v>
      </c>
      <c r="L21" s="23" t="s">
        <v>10</v>
      </c>
      <c r="M21" s="24" t="s">
        <v>46</v>
      </c>
      <c r="N21" s="23" t="s">
        <v>46</v>
      </c>
      <c r="O21" s="23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46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3" t="s">
        <v>104</v>
      </c>
      <c r="I22" s="23" t="s">
        <v>46</v>
      </c>
      <c r="J22" s="24" t="s">
        <v>46</v>
      </c>
      <c r="K22" s="23" t="s">
        <v>10</v>
      </c>
      <c r="L22" s="23" t="s">
        <v>46</v>
      </c>
      <c r="M22" s="24" t="s">
        <v>104</v>
      </c>
      <c r="N22" s="23" t="s">
        <v>46</v>
      </c>
      <c r="O22" s="23" t="s">
        <v>10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42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3" t="s">
        <v>46</v>
      </c>
      <c r="I23" s="23" t="s">
        <v>104</v>
      </c>
      <c r="J23" s="24" t="s">
        <v>104</v>
      </c>
      <c r="K23" s="23" t="s">
        <v>10</v>
      </c>
      <c r="L23" s="23" t="s">
        <v>46</v>
      </c>
      <c r="M23" s="24" t="s">
        <v>10</v>
      </c>
      <c r="N23" s="23" t="s">
        <v>10</v>
      </c>
      <c r="O23" s="23" t="s">
        <v>104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42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3" t="s">
        <v>46</v>
      </c>
      <c r="I24" s="23" t="s">
        <v>46</v>
      </c>
      <c r="J24" s="24" t="s">
        <v>46</v>
      </c>
      <c r="K24" s="23" t="s">
        <v>104</v>
      </c>
      <c r="L24" s="23" t="s">
        <v>46</v>
      </c>
      <c r="M24" s="24" t="s">
        <v>46</v>
      </c>
      <c r="N24" s="23" t="s">
        <v>46</v>
      </c>
      <c r="O24" s="23" t="s">
        <v>46</v>
      </c>
      <c r="P24" s="24" t="s">
        <v>46</v>
      </c>
      <c r="Q24" s="24" t="s">
        <v>10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42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3" t="s">
        <v>10</v>
      </c>
      <c r="I25" s="23" t="s">
        <v>10</v>
      </c>
      <c r="J25" s="24" t="s">
        <v>10</v>
      </c>
      <c r="K25" s="23" t="s">
        <v>46</v>
      </c>
      <c r="L25" s="23" t="s">
        <v>10</v>
      </c>
      <c r="M25" s="24" t="s">
        <v>104</v>
      </c>
      <c r="N25" s="23" t="s">
        <v>10</v>
      </c>
      <c r="O25" s="23" t="s">
        <v>10</v>
      </c>
      <c r="P25" s="24" t="s">
        <v>46</v>
      </c>
      <c r="Q25" s="24" t="s">
        <v>104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42"/>
      <c r="B26" s="7">
        <v>23</v>
      </c>
      <c r="C26" s="10" t="s">
        <v>62</v>
      </c>
      <c r="D26" s="10" t="s">
        <v>54</v>
      </c>
      <c r="E26" s="10"/>
      <c r="F26" s="10"/>
      <c r="G26" s="7" t="str">
        <f t="shared" si="1"/>
        <v/>
      </c>
      <c r="H26" s="23" t="s">
        <v>10</v>
      </c>
      <c r="I26" s="23" t="s">
        <v>10</v>
      </c>
      <c r="J26" s="24" t="s">
        <v>10</v>
      </c>
      <c r="K26" s="23" t="s">
        <v>10</v>
      </c>
      <c r="L26" s="23" t="s">
        <v>104</v>
      </c>
      <c r="M26" s="24" t="s">
        <v>104</v>
      </c>
      <c r="N26" s="23" t="s">
        <v>10</v>
      </c>
      <c r="O26" s="23" t="s">
        <v>46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3"/>
      <c r="B27" s="7">
        <v>24</v>
      </c>
      <c r="C27" s="10" t="s">
        <v>55</v>
      </c>
      <c r="D27" s="10" t="s">
        <v>61</v>
      </c>
      <c r="E27" s="10"/>
      <c r="F27" s="10"/>
      <c r="G27" s="7" t="str">
        <f t="shared" si="1"/>
        <v/>
      </c>
      <c r="H27" s="23" t="s">
        <v>46</v>
      </c>
      <c r="I27" s="23" t="s">
        <v>46</v>
      </c>
      <c r="J27" s="24" t="s">
        <v>10</v>
      </c>
      <c r="K27" s="23" t="s">
        <v>10</v>
      </c>
      <c r="L27" s="23" t="s">
        <v>10</v>
      </c>
      <c r="M27" s="24" t="s">
        <v>10</v>
      </c>
      <c r="N27" s="23" t="s">
        <v>46</v>
      </c>
      <c r="O27" s="23" t="s">
        <v>46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47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3" t="s">
        <v>46</v>
      </c>
      <c r="I28" s="23" t="s">
        <v>46</v>
      </c>
      <c r="J28" s="24" t="s">
        <v>46</v>
      </c>
      <c r="K28" s="23" t="s">
        <v>46</v>
      </c>
      <c r="L28" s="23" t="s">
        <v>46</v>
      </c>
      <c r="M28" s="24" t="s">
        <v>46</v>
      </c>
      <c r="N28" s="23" t="s">
        <v>46</v>
      </c>
      <c r="O28" s="23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42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3" t="s">
        <v>46</v>
      </c>
      <c r="I29" s="23" t="s">
        <v>104</v>
      </c>
      <c r="J29" s="24" t="s">
        <v>10</v>
      </c>
      <c r="K29" s="23" t="s">
        <v>10</v>
      </c>
      <c r="L29" s="23" t="s">
        <v>10</v>
      </c>
      <c r="M29" s="24" t="s">
        <v>104</v>
      </c>
      <c r="N29" s="23" t="s">
        <v>10</v>
      </c>
      <c r="O29" s="23" t="s">
        <v>10</v>
      </c>
      <c r="P29" s="24" t="s">
        <v>104</v>
      </c>
      <c r="Q29" s="24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42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3" t="s">
        <v>46</v>
      </c>
      <c r="I30" s="23" t="s">
        <v>46</v>
      </c>
      <c r="J30" s="24" t="s">
        <v>46</v>
      </c>
      <c r="K30" s="23" t="s">
        <v>46</v>
      </c>
      <c r="L30" s="23" t="s">
        <v>46</v>
      </c>
      <c r="M30" s="24" t="s">
        <v>46</v>
      </c>
      <c r="N30" s="23" t="s">
        <v>46</v>
      </c>
      <c r="O30" s="23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42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3" t="s">
        <v>104</v>
      </c>
      <c r="I31" s="23" t="s">
        <v>46</v>
      </c>
      <c r="J31" s="24" t="s">
        <v>10</v>
      </c>
      <c r="K31" s="23" t="s">
        <v>104</v>
      </c>
      <c r="L31" s="23" t="s">
        <v>10</v>
      </c>
      <c r="M31" s="24" t="s">
        <v>46</v>
      </c>
      <c r="N31" s="23" t="s">
        <v>46</v>
      </c>
      <c r="O31" s="23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42"/>
      <c r="B32" s="7">
        <v>29</v>
      </c>
      <c r="C32" s="11" t="s">
        <v>64</v>
      </c>
      <c r="D32" s="11" t="s">
        <v>66</v>
      </c>
      <c r="E32" s="11"/>
      <c r="F32" s="11"/>
      <c r="G32" s="7" t="str">
        <f t="shared" si="1"/>
        <v/>
      </c>
      <c r="H32" s="23" t="s">
        <v>104</v>
      </c>
      <c r="I32" s="23" t="s">
        <v>104</v>
      </c>
      <c r="J32" s="24" t="s">
        <v>10</v>
      </c>
      <c r="K32" s="23" t="s">
        <v>104</v>
      </c>
      <c r="L32" s="23" t="s">
        <v>10</v>
      </c>
      <c r="M32" s="24" t="s">
        <v>10</v>
      </c>
      <c r="N32" s="23" t="s">
        <v>104</v>
      </c>
      <c r="O32" s="23" t="s">
        <v>104</v>
      </c>
      <c r="P32" s="24" t="s">
        <v>46</v>
      </c>
      <c r="Q32" s="24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3"/>
      <c r="B33" s="7">
        <v>30</v>
      </c>
      <c r="C33" s="11" t="s">
        <v>67</v>
      </c>
      <c r="D33" s="11" t="s">
        <v>63</v>
      </c>
      <c r="E33" s="11"/>
      <c r="F33" s="11"/>
      <c r="G33" s="7" t="str">
        <f t="shared" si="1"/>
        <v/>
      </c>
      <c r="H33" s="23" t="s">
        <v>104</v>
      </c>
      <c r="I33" s="23" t="s">
        <v>10</v>
      </c>
      <c r="J33" s="24" t="s">
        <v>104</v>
      </c>
      <c r="K33" s="23" t="s">
        <v>104</v>
      </c>
      <c r="L33" s="23" t="s">
        <v>104</v>
      </c>
      <c r="M33" s="24" t="s">
        <v>10</v>
      </c>
      <c r="N33" s="23" t="s">
        <v>104</v>
      </c>
      <c r="O33" s="23" t="s">
        <v>104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45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3" t="s">
        <v>104</v>
      </c>
      <c r="I34" s="23" t="s">
        <v>10</v>
      </c>
      <c r="J34" s="24" t="s">
        <v>10</v>
      </c>
      <c r="K34" s="23" t="s">
        <v>10</v>
      </c>
      <c r="L34" s="23" t="s">
        <v>104</v>
      </c>
      <c r="M34" s="24" t="s">
        <v>104</v>
      </c>
      <c r="N34" s="23" t="s">
        <v>46</v>
      </c>
      <c r="O34" s="23" t="s">
        <v>10</v>
      </c>
      <c r="P34" s="24" t="s">
        <v>46</v>
      </c>
      <c r="Q34" s="24" t="s">
        <v>10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42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3" t="s">
        <v>46</v>
      </c>
      <c r="I35" s="23" t="s">
        <v>46</v>
      </c>
      <c r="J35" s="24" t="s">
        <v>46</v>
      </c>
      <c r="K35" s="23" t="s">
        <v>46</v>
      </c>
      <c r="L35" s="23" t="s">
        <v>46</v>
      </c>
      <c r="M35" s="24" t="s">
        <v>46</v>
      </c>
      <c r="N35" s="23" t="s">
        <v>46</v>
      </c>
      <c r="O35" s="23" t="s">
        <v>10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42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3" t="s">
        <v>46</v>
      </c>
      <c r="I36" s="23" t="s">
        <v>46</v>
      </c>
      <c r="J36" s="24" t="s">
        <v>46</v>
      </c>
      <c r="K36" s="23" t="s">
        <v>46</v>
      </c>
      <c r="L36" s="23" t="s">
        <v>46</v>
      </c>
      <c r="M36" s="24" t="s">
        <v>46</v>
      </c>
      <c r="N36" s="23" t="s">
        <v>46</v>
      </c>
      <c r="O36" s="23" t="s">
        <v>46</v>
      </c>
      <c r="P36" s="24" t="s">
        <v>104</v>
      </c>
      <c r="Q36" s="24" t="s">
        <v>10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42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3" t="s">
        <v>104</v>
      </c>
      <c r="I37" s="23" t="s">
        <v>104</v>
      </c>
      <c r="J37" s="24" t="s">
        <v>104</v>
      </c>
      <c r="K37" s="23" t="s">
        <v>104</v>
      </c>
      <c r="L37" s="23" t="s">
        <v>104</v>
      </c>
      <c r="M37" s="24" t="s">
        <v>104</v>
      </c>
      <c r="N37" s="23" t="s">
        <v>104</v>
      </c>
      <c r="O37" s="23" t="s">
        <v>10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42"/>
      <c r="B38" s="7">
        <v>35</v>
      </c>
      <c r="C38" s="12" t="s">
        <v>99</v>
      </c>
      <c r="D38" s="12" t="s">
        <v>68</v>
      </c>
      <c r="E38" s="12"/>
      <c r="F38" s="12"/>
      <c r="G38" s="7" t="str">
        <f t="shared" si="1"/>
        <v/>
      </c>
      <c r="H38" s="23" t="s">
        <v>10</v>
      </c>
      <c r="I38" s="23" t="s">
        <v>46</v>
      </c>
      <c r="J38" s="24" t="s">
        <v>46</v>
      </c>
      <c r="K38" s="23" t="s">
        <v>46</v>
      </c>
      <c r="L38" s="23" t="s">
        <v>10</v>
      </c>
      <c r="M38" s="24" t="s">
        <v>104</v>
      </c>
      <c r="N38" s="23" t="s">
        <v>10</v>
      </c>
      <c r="O38" s="23" t="s">
        <v>46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3"/>
      <c r="B39" s="7">
        <v>36</v>
      </c>
      <c r="C39" s="12" t="s">
        <v>98</v>
      </c>
      <c r="D39" s="12" t="s">
        <v>65</v>
      </c>
      <c r="E39" s="12"/>
      <c r="F39" s="12"/>
      <c r="G39" s="7" t="str">
        <f t="shared" si="1"/>
        <v/>
      </c>
      <c r="H39" s="23" t="s">
        <v>10</v>
      </c>
      <c r="I39" s="23" t="s">
        <v>104</v>
      </c>
      <c r="J39" s="24" t="s">
        <v>104</v>
      </c>
      <c r="K39" s="23" t="s">
        <v>104</v>
      </c>
      <c r="L39" s="23" t="s">
        <v>104</v>
      </c>
      <c r="M39" s="24" t="s">
        <v>104</v>
      </c>
      <c r="N39" s="23" t="s">
        <v>104</v>
      </c>
      <c r="O39" s="23" t="s">
        <v>10</v>
      </c>
      <c r="P39" s="24" t="s">
        <v>10</v>
      </c>
      <c r="Q39" s="24" t="s">
        <v>104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44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3" t="s">
        <v>46</v>
      </c>
      <c r="I40" s="23" t="s">
        <v>10</v>
      </c>
      <c r="J40" s="24" t="s">
        <v>104</v>
      </c>
      <c r="K40" s="23" t="s">
        <v>46</v>
      </c>
      <c r="L40" s="23" t="s">
        <v>46</v>
      </c>
      <c r="M40" s="24" t="s">
        <v>46</v>
      </c>
      <c r="N40" s="23" t="s">
        <v>46</v>
      </c>
      <c r="O40" s="23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42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3" t="s">
        <v>46</v>
      </c>
      <c r="I41" s="23" t="s">
        <v>104</v>
      </c>
      <c r="J41" s="24" t="s">
        <v>104</v>
      </c>
      <c r="K41" s="23" t="s">
        <v>10</v>
      </c>
      <c r="L41" s="23" t="s">
        <v>10</v>
      </c>
      <c r="M41" s="24" t="s">
        <v>104</v>
      </c>
      <c r="N41" s="23" t="s">
        <v>46</v>
      </c>
      <c r="O41" s="23" t="s">
        <v>46</v>
      </c>
      <c r="P41" s="24" t="s">
        <v>104</v>
      </c>
      <c r="Q41" s="24" t="s">
        <v>10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42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3" t="s">
        <v>10</v>
      </c>
      <c r="I42" s="23" t="s">
        <v>46</v>
      </c>
      <c r="J42" s="24" t="s">
        <v>46</v>
      </c>
      <c r="K42" s="23" t="s">
        <v>46</v>
      </c>
      <c r="L42" s="23" t="s">
        <v>46</v>
      </c>
      <c r="M42" s="24" t="s">
        <v>46</v>
      </c>
      <c r="N42" s="23" t="s">
        <v>46</v>
      </c>
      <c r="O42" s="23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42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3" t="s">
        <v>104</v>
      </c>
      <c r="I43" s="23" t="s">
        <v>104</v>
      </c>
      <c r="J43" s="24" t="s">
        <v>10</v>
      </c>
      <c r="K43" s="23" t="s">
        <v>10</v>
      </c>
      <c r="L43" s="23" t="s">
        <v>46</v>
      </c>
      <c r="M43" s="24" t="s">
        <v>10</v>
      </c>
      <c r="N43" s="23" t="s">
        <v>104</v>
      </c>
      <c r="O43" s="23" t="s">
        <v>104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42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3" t="s">
        <v>104</v>
      </c>
      <c r="I44" s="23" t="s">
        <v>46</v>
      </c>
      <c r="J44" s="24" t="s">
        <v>46</v>
      </c>
      <c r="K44" s="23" t="s">
        <v>104</v>
      </c>
      <c r="L44" s="23" t="s">
        <v>10</v>
      </c>
      <c r="M44" s="24" t="s">
        <v>10</v>
      </c>
      <c r="N44" s="23" t="s">
        <v>10</v>
      </c>
      <c r="O44" s="23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3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3" t="s">
        <v>104</v>
      </c>
      <c r="I45" s="23" t="s">
        <v>104</v>
      </c>
      <c r="J45" s="24" t="s">
        <v>104</v>
      </c>
      <c r="K45" s="23" t="s">
        <v>104</v>
      </c>
      <c r="L45" s="23" t="s">
        <v>104</v>
      </c>
      <c r="M45" s="24" t="s">
        <v>104</v>
      </c>
      <c r="N45" s="23" t="s">
        <v>104</v>
      </c>
      <c r="O45" s="23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61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3" t="s">
        <v>46</v>
      </c>
      <c r="I46" s="23" t="s">
        <v>46</v>
      </c>
      <c r="J46" s="24" t="s">
        <v>46</v>
      </c>
      <c r="K46" s="23" t="s">
        <v>46</v>
      </c>
      <c r="L46" s="23" t="s">
        <v>46</v>
      </c>
      <c r="M46" s="24" t="s">
        <v>46</v>
      </c>
      <c r="N46" s="23" t="s">
        <v>46</v>
      </c>
      <c r="O46" s="23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42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3" t="s">
        <v>104</v>
      </c>
      <c r="I47" s="23" t="s">
        <v>104</v>
      </c>
      <c r="J47" s="24" t="s">
        <v>104</v>
      </c>
      <c r="K47" s="23" t="s">
        <v>104</v>
      </c>
      <c r="L47" s="23" t="s">
        <v>10</v>
      </c>
      <c r="M47" s="24" t="s">
        <v>104</v>
      </c>
      <c r="N47" s="23" t="s">
        <v>104</v>
      </c>
      <c r="O47" s="23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42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3" t="s">
        <v>46</v>
      </c>
      <c r="I48" s="23" t="s">
        <v>46</v>
      </c>
      <c r="J48" s="24" t="s">
        <v>46</v>
      </c>
      <c r="K48" s="23" t="s">
        <v>46</v>
      </c>
      <c r="L48" s="23" t="s">
        <v>46</v>
      </c>
      <c r="M48" s="24" t="s">
        <v>46</v>
      </c>
      <c r="N48" s="23" t="s">
        <v>46</v>
      </c>
      <c r="O48" s="23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42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3" t="s">
        <v>104</v>
      </c>
      <c r="I49" s="23" t="s">
        <v>46</v>
      </c>
      <c r="J49" s="24" t="s">
        <v>46</v>
      </c>
      <c r="K49" s="23" t="s">
        <v>46</v>
      </c>
      <c r="L49" s="23" t="s">
        <v>46</v>
      </c>
      <c r="M49" s="24" t="s">
        <v>46</v>
      </c>
      <c r="N49" s="23" t="s">
        <v>46</v>
      </c>
      <c r="O49" s="23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42"/>
      <c r="B50" s="7">
        <v>47</v>
      </c>
      <c r="C50" s="14" t="s">
        <v>70</v>
      </c>
      <c r="D50" s="14" t="s">
        <v>100</v>
      </c>
      <c r="E50" s="14"/>
      <c r="F50" s="14"/>
      <c r="G50" s="7" t="str">
        <f t="shared" si="1"/>
        <v/>
      </c>
      <c r="H50" s="23" t="s">
        <v>104</v>
      </c>
      <c r="I50" s="23" t="s">
        <v>10</v>
      </c>
      <c r="J50" s="24" t="s">
        <v>10</v>
      </c>
      <c r="K50" s="23" t="s">
        <v>104</v>
      </c>
      <c r="L50" s="23" t="s">
        <v>10</v>
      </c>
      <c r="M50" s="24" t="s">
        <v>104</v>
      </c>
      <c r="N50" s="23" t="s">
        <v>10</v>
      </c>
      <c r="O50" s="23" t="s">
        <v>10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3"/>
      <c r="B51" s="7">
        <v>48</v>
      </c>
      <c r="C51" s="14" t="s">
        <v>74</v>
      </c>
      <c r="D51" s="14" t="s">
        <v>69</v>
      </c>
      <c r="E51" s="14"/>
      <c r="F51" s="14"/>
      <c r="G51" s="7" t="str">
        <f t="shared" si="1"/>
        <v/>
      </c>
      <c r="H51" s="23" t="s">
        <v>104</v>
      </c>
      <c r="I51" s="23" t="s">
        <v>104</v>
      </c>
      <c r="J51" s="24" t="s">
        <v>10</v>
      </c>
      <c r="K51" s="23" t="s">
        <v>104</v>
      </c>
      <c r="L51" s="23" t="s">
        <v>104</v>
      </c>
      <c r="M51" s="24" t="s">
        <v>10</v>
      </c>
      <c r="N51" s="23" t="s">
        <v>104</v>
      </c>
      <c r="O51" s="23" t="s">
        <v>104</v>
      </c>
      <c r="P51" s="24" t="s">
        <v>104</v>
      </c>
      <c r="Q51" s="24" t="s">
        <v>10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64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5" t="s">
        <v>10</v>
      </c>
      <c r="I52" s="25" t="s">
        <v>46</v>
      </c>
      <c r="J52" s="26" t="s">
        <v>46</v>
      </c>
      <c r="K52" s="25" t="s">
        <v>46</v>
      </c>
      <c r="L52" s="25" t="s">
        <v>46</v>
      </c>
      <c r="M52" s="26" t="s">
        <v>46</v>
      </c>
      <c r="N52" s="25" t="s">
        <v>46</v>
      </c>
      <c r="O52" s="25" t="s">
        <v>46</v>
      </c>
      <c r="P52" s="26" t="s">
        <v>104</v>
      </c>
      <c r="Q52" s="26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65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5" t="s">
        <v>104</v>
      </c>
      <c r="I53" s="25" t="s">
        <v>104</v>
      </c>
      <c r="J53" s="26" t="s">
        <v>10</v>
      </c>
      <c r="K53" s="25" t="s">
        <v>104</v>
      </c>
      <c r="L53" s="25" t="s">
        <v>104</v>
      </c>
      <c r="M53" s="26" t="s">
        <v>104</v>
      </c>
      <c r="N53" s="25" t="s">
        <v>104</v>
      </c>
      <c r="O53" s="25" t="s">
        <v>104</v>
      </c>
      <c r="P53" s="26" t="s">
        <v>104</v>
      </c>
      <c r="Q53" s="26" t="s">
        <v>46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65"/>
      <c r="B54" s="7">
        <v>51</v>
      </c>
      <c r="C54" s="15" t="s">
        <v>80</v>
      </c>
      <c r="D54" s="15" t="s">
        <v>82</v>
      </c>
      <c r="E54" s="15">
        <v>3</v>
      </c>
      <c r="F54" s="15">
        <v>0</v>
      </c>
      <c r="G54" s="7" t="str">
        <f t="shared" si="1"/>
        <v>L</v>
      </c>
      <c r="H54" s="25" t="s">
        <v>46</v>
      </c>
      <c r="I54" s="25" t="s">
        <v>46</v>
      </c>
      <c r="J54" s="26" t="s">
        <v>46</v>
      </c>
      <c r="K54" s="25" t="s">
        <v>46</v>
      </c>
      <c r="L54" s="25" t="s">
        <v>46</v>
      </c>
      <c r="M54" s="26" t="s">
        <v>46</v>
      </c>
      <c r="N54" s="25" t="s">
        <v>46</v>
      </c>
      <c r="O54" s="25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65"/>
      <c r="B55" s="7">
        <v>52</v>
      </c>
      <c r="C55" s="15" t="s">
        <v>83</v>
      </c>
      <c r="D55" s="15" t="s">
        <v>81</v>
      </c>
      <c r="E55" s="15">
        <v>3</v>
      </c>
      <c r="F55" s="15">
        <v>2</v>
      </c>
      <c r="G55" s="7" t="str">
        <f t="shared" si="1"/>
        <v>L</v>
      </c>
      <c r="H55" s="25" t="s">
        <v>10</v>
      </c>
      <c r="I55" s="25" t="s">
        <v>46</v>
      </c>
      <c r="J55" s="26" t="s">
        <v>46</v>
      </c>
      <c r="K55" s="25" t="s">
        <v>10</v>
      </c>
      <c r="L55" s="25" t="s">
        <v>46</v>
      </c>
      <c r="M55" s="26" t="s">
        <v>46</v>
      </c>
      <c r="N55" s="25" t="s">
        <v>10</v>
      </c>
      <c r="O55" s="25" t="s">
        <v>46</v>
      </c>
      <c r="P55" s="26" t="s">
        <v>104</v>
      </c>
      <c r="Q55" s="26" t="s">
        <v>46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65"/>
      <c r="B56" s="7">
        <v>53</v>
      </c>
      <c r="C56" s="15" t="s">
        <v>83</v>
      </c>
      <c r="D56" s="15" t="s">
        <v>80</v>
      </c>
      <c r="E56" s="15"/>
      <c r="F56" s="15"/>
      <c r="G56" s="7" t="str">
        <f t="shared" si="1"/>
        <v/>
      </c>
      <c r="H56" s="25" t="s">
        <v>10</v>
      </c>
      <c r="I56" s="25" t="s">
        <v>104</v>
      </c>
      <c r="J56" s="26" t="s">
        <v>104</v>
      </c>
      <c r="K56" s="25" t="s">
        <v>46</v>
      </c>
      <c r="L56" s="25" t="s">
        <v>104</v>
      </c>
      <c r="M56" s="26" t="s">
        <v>10</v>
      </c>
      <c r="N56" s="25" t="s">
        <v>104</v>
      </c>
      <c r="O56" s="25" t="s">
        <v>104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66"/>
      <c r="B57" s="7">
        <v>54</v>
      </c>
      <c r="C57" s="15" t="s">
        <v>81</v>
      </c>
      <c r="D57" s="15" t="s">
        <v>82</v>
      </c>
      <c r="E57" s="15"/>
      <c r="F57" s="15"/>
      <c r="G57" s="7" t="str">
        <f t="shared" si="1"/>
        <v/>
      </c>
      <c r="H57" s="25" t="s">
        <v>46</v>
      </c>
      <c r="I57" s="25" t="s">
        <v>46</v>
      </c>
      <c r="J57" s="26" t="s">
        <v>10</v>
      </c>
      <c r="K57" s="25" t="s">
        <v>10</v>
      </c>
      <c r="L57" s="25" t="s">
        <v>10</v>
      </c>
      <c r="M57" s="26" t="s">
        <v>10</v>
      </c>
      <c r="N57" s="25" t="s">
        <v>46</v>
      </c>
      <c r="O57" s="25" t="s">
        <v>10</v>
      </c>
      <c r="P57" s="26" t="s">
        <v>46</v>
      </c>
      <c r="Q57" s="26" t="s">
        <v>104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67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5" t="s">
        <v>10</v>
      </c>
      <c r="I58" s="25" t="s">
        <v>46</v>
      </c>
      <c r="J58" s="26" t="s">
        <v>46</v>
      </c>
      <c r="K58" s="25" t="s">
        <v>46</v>
      </c>
      <c r="L58" s="25" t="s">
        <v>46</v>
      </c>
      <c r="M58" s="26" t="s">
        <v>46</v>
      </c>
      <c r="N58" s="25" t="s">
        <v>46</v>
      </c>
      <c r="O58" s="25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68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5" t="s">
        <v>46</v>
      </c>
      <c r="I59" s="25" t="s">
        <v>46</v>
      </c>
      <c r="J59" s="26" t="s">
        <v>46</v>
      </c>
      <c r="K59" s="25" t="s">
        <v>46</v>
      </c>
      <c r="L59" s="25" t="s">
        <v>10</v>
      </c>
      <c r="M59" s="26" t="s">
        <v>46</v>
      </c>
      <c r="N59" s="25" t="s">
        <v>46</v>
      </c>
      <c r="O59" s="25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68"/>
      <c r="B60" s="7">
        <v>57</v>
      </c>
      <c r="C60" s="16" t="s">
        <v>84</v>
      </c>
      <c r="D60" s="16" t="s">
        <v>86</v>
      </c>
      <c r="E60" s="16">
        <v>2</v>
      </c>
      <c r="F60" s="16">
        <v>0</v>
      </c>
      <c r="G60" s="7" t="str">
        <f t="shared" si="1"/>
        <v>L</v>
      </c>
      <c r="H60" s="25" t="s">
        <v>46</v>
      </c>
      <c r="I60" s="25" t="s">
        <v>46</v>
      </c>
      <c r="J60" s="26" t="s">
        <v>46</v>
      </c>
      <c r="K60" s="25" t="s">
        <v>46</v>
      </c>
      <c r="L60" s="25" t="s">
        <v>46</v>
      </c>
      <c r="M60" s="26" t="s">
        <v>46</v>
      </c>
      <c r="N60" s="25" t="s">
        <v>46</v>
      </c>
      <c r="O60" s="25" t="s">
        <v>46</v>
      </c>
      <c r="P60" s="26" t="s">
        <v>46</v>
      </c>
      <c r="Q60" s="26" t="s">
        <v>10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68"/>
      <c r="B61" s="7">
        <v>58</v>
      </c>
      <c r="C61" s="16" t="s">
        <v>87</v>
      </c>
      <c r="D61" s="16" t="s">
        <v>85</v>
      </c>
      <c r="E61" s="16">
        <v>1</v>
      </c>
      <c r="F61" s="16">
        <v>2</v>
      </c>
      <c r="G61" s="7" t="str">
        <f t="shared" si="1"/>
        <v>V</v>
      </c>
      <c r="H61" s="25" t="s">
        <v>104</v>
      </c>
      <c r="I61" s="25" t="s">
        <v>10</v>
      </c>
      <c r="J61" s="26" t="s">
        <v>10</v>
      </c>
      <c r="K61" s="25" t="s">
        <v>104</v>
      </c>
      <c r="L61" s="25" t="s">
        <v>10</v>
      </c>
      <c r="M61" s="26" t="s">
        <v>46</v>
      </c>
      <c r="N61" s="25" t="s">
        <v>104</v>
      </c>
      <c r="O61" s="25" t="s">
        <v>104</v>
      </c>
      <c r="P61" s="26" t="s">
        <v>10</v>
      </c>
      <c r="Q61" s="26" t="s">
        <v>46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68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5" t="s">
        <v>10</v>
      </c>
      <c r="I62" s="25" t="s">
        <v>104</v>
      </c>
      <c r="J62" s="26" t="s">
        <v>10</v>
      </c>
      <c r="K62" s="25" t="s">
        <v>104</v>
      </c>
      <c r="L62" s="25" t="s">
        <v>10</v>
      </c>
      <c r="M62" s="26" t="s">
        <v>104</v>
      </c>
      <c r="N62" s="25" t="s">
        <v>104</v>
      </c>
      <c r="O62" s="25" t="s">
        <v>10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69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5" t="s">
        <v>104</v>
      </c>
      <c r="I63" s="25" t="s">
        <v>104</v>
      </c>
      <c r="J63" s="26" t="s">
        <v>104</v>
      </c>
      <c r="K63" s="25" t="s">
        <v>104</v>
      </c>
      <c r="L63" s="25" t="s">
        <v>104</v>
      </c>
      <c r="M63" s="26" t="s">
        <v>104</v>
      </c>
      <c r="N63" s="25" t="s">
        <v>104</v>
      </c>
      <c r="O63" s="25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55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5" t="s">
        <v>46</v>
      </c>
      <c r="I64" s="25" t="s">
        <v>46</v>
      </c>
      <c r="J64" s="26" t="s">
        <v>46</v>
      </c>
      <c r="K64" s="25" t="s">
        <v>46</v>
      </c>
      <c r="L64" s="25" t="s">
        <v>46</v>
      </c>
      <c r="M64" s="26" t="s">
        <v>46</v>
      </c>
      <c r="N64" s="25" t="s">
        <v>46</v>
      </c>
      <c r="O64" s="25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56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5" t="s">
        <v>104</v>
      </c>
      <c r="I65" s="25" t="s">
        <v>104</v>
      </c>
      <c r="J65" s="26" t="s">
        <v>104</v>
      </c>
      <c r="K65" s="25" t="s">
        <v>104</v>
      </c>
      <c r="L65" s="25" t="s">
        <v>104</v>
      </c>
      <c r="M65" s="26" t="s">
        <v>104</v>
      </c>
      <c r="N65" s="25" t="s">
        <v>104</v>
      </c>
      <c r="O65" s="25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56"/>
      <c r="B66" s="7">
        <v>63</v>
      </c>
      <c r="C66" s="17" t="s">
        <v>88</v>
      </c>
      <c r="D66" s="17" t="s">
        <v>94</v>
      </c>
      <c r="E66" s="17">
        <v>5</v>
      </c>
      <c r="F66" s="17">
        <v>0</v>
      </c>
      <c r="G66" s="7" t="str">
        <f t="shared" si="1"/>
        <v>L</v>
      </c>
      <c r="H66" s="25" t="s">
        <v>46</v>
      </c>
      <c r="I66" s="25" t="s">
        <v>46</v>
      </c>
      <c r="J66" s="26" t="s">
        <v>46</v>
      </c>
      <c r="K66" s="25" t="s">
        <v>46</v>
      </c>
      <c r="L66" s="25" t="s">
        <v>46</v>
      </c>
      <c r="M66" s="26" t="s">
        <v>46</v>
      </c>
      <c r="N66" s="25" t="s">
        <v>46</v>
      </c>
      <c r="O66" s="25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56"/>
      <c r="B67" s="7">
        <v>64</v>
      </c>
      <c r="C67" s="17" t="s">
        <v>95</v>
      </c>
      <c r="D67" s="17" t="s">
        <v>89</v>
      </c>
      <c r="E67" s="17"/>
      <c r="F67" s="17"/>
      <c r="G67" s="7" t="str">
        <f t="shared" si="1"/>
        <v/>
      </c>
      <c r="H67" s="25" t="s">
        <v>46</v>
      </c>
      <c r="I67" s="25" t="s">
        <v>46</v>
      </c>
      <c r="J67" s="26" t="s">
        <v>46</v>
      </c>
      <c r="K67" s="25" t="s">
        <v>104</v>
      </c>
      <c r="L67" s="25" t="s">
        <v>46</v>
      </c>
      <c r="M67" s="26" t="s">
        <v>46</v>
      </c>
      <c r="N67" s="25" t="s">
        <v>46</v>
      </c>
      <c r="O67" s="25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56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5" t="s">
        <v>10</v>
      </c>
      <c r="I68" s="25" t="s">
        <v>104</v>
      </c>
      <c r="J68" s="26" t="s">
        <v>10</v>
      </c>
      <c r="K68" s="25" t="s">
        <v>46</v>
      </c>
      <c r="L68" s="25" t="s">
        <v>104</v>
      </c>
      <c r="M68" s="26" t="s">
        <v>104</v>
      </c>
      <c r="N68" s="25" t="s">
        <v>104</v>
      </c>
      <c r="O68" s="25" t="s">
        <v>10</v>
      </c>
      <c r="P68" s="26" t="s">
        <v>104</v>
      </c>
      <c r="Q68" s="26" t="s">
        <v>10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57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5" t="s">
        <v>104</v>
      </c>
      <c r="I69" s="25" t="s">
        <v>10</v>
      </c>
      <c r="J69" s="26" t="s">
        <v>10</v>
      </c>
      <c r="K69" s="25" t="s">
        <v>46</v>
      </c>
      <c r="L69" s="25" t="s">
        <v>10</v>
      </c>
      <c r="M69" s="26" t="s">
        <v>104</v>
      </c>
      <c r="N69" s="25" t="s">
        <v>10</v>
      </c>
      <c r="O69" s="25" t="s">
        <v>10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58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5" t="s">
        <v>46</v>
      </c>
      <c r="I70" s="25" t="s">
        <v>10</v>
      </c>
      <c r="J70" s="26" t="s">
        <v>104</v>
      </c>
      <c r="K70" s="25" t="s">
        <v>10</v>
      </c>
      <c r="L70" s="25" t="s">
        <v>46</v>
      </c>
      <c r="M70" s="26" t="s">
        <v>104</v>
      </c>
      <c r="N70" s="25" t="s">
        <v>10</v>
      </c>
      <c r="O70" s="25" t="s">
        <v>46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59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5" t="s">
        <v>46</v>
      </c>
      <c r="I71" s="25" t="s">
        <v>10</v>
      </c>
      <c r="J71" s="26" t="s">
        <v>46</v>
      </c>
      <c r="K71" s="25" t="s">
        <v>10</v>
      </c>
      <c r="L71" s="25" t="s">
        <v>10</v>
      </c>
      <c r="M71" s="26" t="s">
        <v>104</v>
      </c>
      <c r="N71" s="25" t="s">
        <v>46</v>
      </c>
      <c r="O71" s="25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59"/>
      <c r="B72" s="7">
        <v>69</v>
      </c>
      <c r="C72" s="18" t="s">
        <v>90</v>
      </c>
      <c r="D72" s="18" t="s">
        <v>92</v>
      </c>
      <c r="E72" s="18">
        <v>0</v>
      </c>
      <c r="F72" s="18">
        <v>0</v>
      </c>
      <c r="G72" s="7" t="str">
        <f t="shared" si="2"/>
        <v>E</v>
      </c>
      <c r="H72" s="25" t="s">
        <v>10</v>
      </c>
      <c r="I72" s="25" t="s">
        <v>46</v>
      </c>
      <c r="J72" s="26" t="s">
        <v>46</v>
      </c>
      <c r="K72" s="25" t="s">
        <v>46</v>
      </c>
      <c r="L72" s="25" t="s">
        <v>46</v>
      </c>
      <c r="M72" s="26" t="s">
        <v>46</v>
      </c>
      <c r="N72" s="25" t="s">
        <v>46</v>
      </c>
      <c r="O72" s="25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59"/>
      <c r="B73" s="7">
        <v>70</v>
      </c>
      <c r="C73" s="18" t="s">
        <v>93</v>
      </c>
      <c r="D73" s="18" t="s">
        <v>91</v>
      </c>
      <c r="E73" s="18">
        <v>0</v>
      </c>
      <c r="F73" s="18">
        <v>1</v>
      </c>
      <c r="G73" s="7" t="str">
        <f t="shared" si="2"/>
        <v>V</v>
      </c>
      <c r="H73" s="25" t="s">
        <v>104</v>
      </c>
      <c r="I73" s="25" t="s">
        <v>104</v>
      </c>
      <c r="J73" s="26" t="s">
        <v>104</v>
      </c>
      <c r="K73" s="25" t="s">
        <v>104</v>
      </c>
      <c r="L73" s="25" t="s">
        <v>104</v>
      </c>
      <c r="M73" s="26" t="s">
        <v>104</v>
      </c>
      <c r="N73" s="25" t="s">
        <v>104</v>
      </c>
      <c r="O73" s="25" t="s">
        <v>10</v>
      </c>
      <c r="P73" s="26" t="s">
        <v>104</v>
      </c>
      <c r="Q73" s="26" t="s">
        <v>46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59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5" t="s">
        <v>10</v>
      </c>
      <c r="I74" s="25" t="s">
        <v>104</v>
      </c>
      <c r="J74" s="26" t="s">
        <v>104</v>
      </c>
      <c r="K74" s="25" t="s">
        <v>104</v>
      </c>
      <c r="L74" s="25" t="s">
        <v>104</v>
      </c>
      <c r="M74" s="26" t="s">
        <v>104</v>
      </c>
      <c r="N74" s="25" t="s">
        <v>104</v>
      </c>
      <c r="O74" s="25" t="s">
        <v>104</v>
      </c>
      <c r="P74" s="26" t="s">
        <v>46</v>
      </c>
      <c r="Q74" s="26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60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5" t="s">
        <v>104</v>
      </c>
      <c r="I75" s="25" t="s">
        <v>46</v>
      </c>
      <c r="J75" s="26" t="s">
        <v>46</v>
      </c>
      <c r="K75" s="25" t="s">
        <v>46</v>
      </c>
      <c r="L75" s="25" t="s">
        <v>46</v>
      </c>
      <c r="M75" s="26" t="s">
        <v>46</v>
      </c>
      <c r="N75" s="25" t="s">
        <v>46</v>
      </c>
      <c r="O75" s="25" t="s">
        <v>10</v>
      </c>
      <c r="P75" s="26" t="s">
        <v>46</v>
      </c>
      <c r="Q75" s="26" t="s">
        <v>10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62" t="s">
        <v>14</v>
      </c>
      <c r="E76" s="37"/>
      <c r="F76" s="38"/>
      <c r="G76" s="2">
        <f>SUM(E4:F75)</f>
        <v>140</v>
      </c>
      <c r="H76" s="25">
        <v>186</v>
      </c>
      <c r="I76" s="25">
        <v>172</v>
      </c>
      <c r="J76" s="26">
        <v>179</v>
      </c>
      <c r="K76" s="25">
        <v>222</v>
      </c>
      <c r="L76" s="25">
        <v>190</v>
      </c>
      <c r="M76" s="26">
        <v>162</v>
      </c>
      <c r="N76" s="25">
        <v>197</v>
      </c>
      <c r="O76" s="25">
        <v>169</v>
      </c>
      <c r="P76" s="26">
        <v>185</v>
      </c>
      <c r="Q76" s="26">
        <v>201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63" t="s">
        <v>15</v>
      </c>
      <c r="E77" s="37"/>
      <c r="F77" s="37"/>
      <c r="G77" s="38"/>
      <c r="H77" s="28">
        <f>SUM(H78:H81)</f>
        <v>54</v>
      </c>
      <c r="I77" s="28">
        <f>SUM(I78:I81)</f>
        <v>68</v>
      </c>
      <c r="J77" s="28">
        <f>SUM(J78:J81)</f>
        <v>61</v>
      </c>
      <c r="K77" s="28">
        <f>SUM(K78:K81)</f>
        <v>18</v>
      </c>
      <c r="L77" s="28">
        <f>SUM(L78:L81)</f>
        <v>50</v>
      </c>
      <c r="M77" s="28">
        <f>SUM(M78:M81)</f>
        <v>78</v>
      </c>
      <c r="N77" s="28">
        <f>SUM(N78:N81)</f>
        <v>43</v>
      </c>
      <c r="O77" s="28">
        <f>SUM(O78:O81)</f>
        <v>71</v>
      </c>
      <c r="P77" s="28">
        <f>SUM(P78:P81)</f>
        <v>55</v>
      </c>
      <c r="Q77" s="28">
        <f>SUM(Q78:Q81)</f>
        <v>39</v>
      </c>
      <c r="R77" s="28">
        <f>SUM(R78:R81)</f>
        <v>60</v>
      </c>
      <c r="S77" s="28">
        <f t="shared" ref="S77:AF77" si="3">SUM(S78:S81)</f>
        <v>0</v>
      </c>
      <c r="T77" s="28">
        <f t="shared" si="3"/>
        <v>0</v>
      </c>
      <c r="U77" s="28">
        <f t="shared" si="3"/>
        <v>0</v>
      </c>
      <c r="V77" s="28">
        <f t="shared" si="3"/>
        <v>0</v>
      </c>
      <c r="W77" s="28">
        <f t="shared" si="3"/>
        <v>0</v>
      </c>
      <c r="X77" s="28">
        <f t="shared" si="3"/>
        <v>0</v>
      </c>
      <c r="Y77" s="28">
        <f t="shared" si="3"/>
        <v>0</v>
      </c>
      <c r="Z77" s="28">
        <f t="shared" si="3"/>
        <v>0</v>
      </c>
      <c r="AA77" s="28">
        <f t="shared" si="3"/>
        <v>0</v>
      </c>
      <c r="AB77" s="28">
        <f t="shared" si="3"/>
        <v>0</v>
      </c>
      <c r="AC77" s="28">
        <f t="shared" si="3"/>
        <v>0</v>
      </c>
      <c r="AD77" s="28">
        <f t="shared" si="3"/>
        <v>0</v>
      </c>
      <c r="AE77" s="28">
        <f t="shared" si="3"/>
        <v>0</v>
      </c>
      <c r="AF77" s="28">
        <f t="shared" si="3"/>
        <v>0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68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78</v>
      </c>
      <c r="N78" s="3">
        <f t="shared" si="4"/>
        <v>0</v>
      </c>
      <c r="O78" s="3">
        <f t="shared" si="4"/>
        <v>71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54</v>
      </c>
      <c r="I79" s="3">
        <f t="shared" si="5"/>
        <v>0</v>
      </c>
      <c r="J79" s="3">
        <f t="shared" si="5"/>
        <v>61</v>
      </c>
      <c r="K79" s="3">
        <f t="shared" si="5"/>
        <v>0</v>
      </c>
      <c r="L79" s="3">
        <f t="shared" si="5"/>
        <v>50</v>
      </c>
      <c r="M79" s="3">
        <f t="shared" si="5"/>
        <v>0</v>
      </c>
      <c r="N79" s="3">
        <f t="shared" si="5"/>
        <v>43</v>
      </c>
      <c r="O79" s="3">
        <f t="shared" si="5"/>
        <v>0</v>
      </c>
      <c r="P79" s="3">
        <f t="shared" si="5"/>
        <v>55</v>
      </c>
      <c r="Q79" s="3">
        <f t="shared" si="5"/>
        <v>39</v>
      </c>
      <c r="R79" s="3">
        <f t="shared" si="5"/>
        <v>60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18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1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5812-5E9F-41C6-A63E-58E236EADEB5}">
  <dimension ref="A1:AF68"/>
  <sheetViews>
    <sheetView showGridLines="0" zoomScale="70" zoomScaleNormal="70" workbookViewId="0">
      <selection activeCell="C28" sqref="C28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36" t="s">
        <v>101</v>
      </c>
      <c r="B1" s="37"/>
      <c r="C1" s="37"/>
      <c r="D1" s="37"/>
      <c r="E1" s="37"/>
      <c r="F1" s="37"/>
      <c r="G1" s="38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50" t="s">
        <v>47</v>
      </c>
      <c r="B2" s="50"/>
      <c r="C2" s="51"/>
      <c r="D2" s="52" t="s">
        <v>103</v>
      </c>
      <c r="E2" s="53"/>
      <c r="F2" s="53"/>
      <c r="G2" s="54"/>
      <c r="H2" s="29" t="s">
        <v>102</v>
      </c>
      <c r="I2" s="30" t="s">
        <v>106</v>
      </c>
      <c r="J2" s="29" t="s">
        <v>113</v>
      </c>
      <c r="K2" s="29" t="s">
        <v>114</v>
      </c>
      <c r="L2" s="29" t="s">
        <v>111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33" t="s">
        <v>0</v>
      </c>
      <c r="B3" s="22" t="s">
        <v>1</v>
      </c>
      <c r="C3" s="14" t="s">
        <v>2</v>
      </c>
      <c r="D3" s="14" t="s">
        <v>3</v>
      </c>
      <c r="E3" s="39" t="s">
        <v>4</v>
      </c>
      <c r="F3" s="40"/>
      <c r="G3" s="22" t="s">
        <v>5</v>
      </c>
      <c r="H3" s="14" cm="1">
        <f t="array" ref="H3">SUMPRODUCT(($G$4:$G$19=H4:H19)*($G$4:$G$19&lt;&gt;""))</f>
        <v>0</v>
      </c>
      <c r="I3" s="14" cm="1">
        <f t="array" ref="I3">SUMPRODUCT(($G$4:$G$19=I4:I19)*($G$4:$G$19&lt;&gt;""))</f>
        <v>0</v>
      </c>
      <c r="J3" s="14" cm="1">
        <f t="array" ref="J3">SUMPRODUCT(($G$4:$G$19=J4:J19)*($G$4:$G$19&lt;&gt;""))</f>
        <v>0</v>
      </c>
      <c r="K3" s="14" cm="1">
        <f t="array" ref="K3">SUMPRODUCT(($G$4:$G$19=K4:K19)*($G$4:$G$19&lt;&gt;""))</f>
        <v>0</v>
      </c>
      <c r="L3" s="14" cm="1">
        <f t="array" ref="L3">SUMPRODUCT(($G$4:$G$19=L4:L19)*($G$4:$G$19&lt;&gt;""))</f>
        <v>0</v>
      </c>
      <c r="M3" s="14" cm="1">
        <f t="array" ref="M3">SUMPRODUCT(($G$4:$G$19=M4:M19)*($G$4:$G$19&lt;&gt;""))</f>
        <v>0</v>
      </c>
      <c r="N3" s="14" cm="1">
        <f t="array" ref="N3">SUMPRODUCT(($G$4:$G$19=N4:N19)*($G$4:$G$19&lt;&gt;""))</f>
        <v>0</v>
      </c>
      <c r="O3" s="14" cm="1">
        <f t="array" ref="O3">SUMPRODUCT(($G$4:$G$19=O4:O19)*($G$4:$G$19&lt;&gt;""))</f>
        <v>0</v>
      </c>
      <c r="P3" s="14" cm="1">
        <f t="array" ref="P3">SUMPRODUCT(($G$4:$G$19=P4:P19)*($G$4:$G$19&lt;&gt;""))</f>
        <v>0</v>
      </c>
      <c r="Q3" s="14" cm="1">
        <f t="array" ref="Q3">SUMPRODUCT(($G$4:$G$19=Q4:Q19)*($G$4:$G$19&lt;&gt;""))</f>
        <v>0</v>
      </c>
      <c r="R3" s="14" cm="1">
        <f t="array" ref="R3">SUMPRODUCT(($G$4:$G$19=R4:R19)*($G$4:$G$19&lt;&gt;""))</f>
        <v>0</v>
      </c>
      <c r="S3" s="14" t="e">
        <f>SUM(IF(S4=$G$4,1,0)+IF(S5=$G$5,1,0)+IF(S6=$G$6,1,0)+IF(S7=$G$7,1,0)+IF(S8=$G$8,1,0)+IF(S9=$G$9,1,0)+IF(S10=$G$10,1,0)+IF(S11=$G$11,1,0)+IF(S12=$G$12,1,0)+IF(S13=$G$13,1,0)+IF(S14=$G$14,1,0)+IF(S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T3" s="14" t="e">
        <f>SUM(IF(T4=$G$4,1,0)+IF(T5=$G$5,1,0)+IF(T6=$G$6,1,0)+IF(T7=$G$7,1,0)+IF(T8=$G$8,1,0)+IF(T9=$G$9,1,0)+IF(T10=$G$10,1,0)+IF(T11=$G$11,1,0)+IF(T12=$G$12,1,0)+IF(T13=$G$13,1,0)+IF(T14=$G$14,1,0)+IF(T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U3" s="14" t="e">
        <f>SUM(IF(U4=$G$4,1,0)+IF(U5=$G$5,1,0)+IF(U6=$G$6,1,0)+IF(U7=$G$7,1,0)+IF(U8=$G$8,1,0)+IF(U9=$G$9,1,0)+IF(U10=$G$10,1,0)+IF(U11=$G$11,1,0)+IF(U12=$G$12,1,0)+IF(U13=$G$13,1,0)+IF(U14=$G$14,1,0)+IF(U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V3" s="14" t="e">
        <f>SUM(IF(V4=$G$4,1,0)+IF(V5=$G$5,1,0)+IF(V6=$G$6,1,0)+IF(V7=$G$7,1,0)+IF(V8=$G$8,1,0)+IF(V9=$G$9,1,0)+IF(V10=$G$10,1,0)+IF(V11=$G$11,1,0)+IF(V12=$G$12,1,0)+IF(V13=$G$13,1,0)+IF(V14=$G$14,1,0)+IF(V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W3" s="14" t="e">
        <f>SUM(IF(W4=$G$4,1,0)+IF(W5=$G$5,1,0)+IF(W6=$G$6,1,0)+IF(W7=$G$7,1,0)+IF(W8=$G$8,1,0)+IF(W9=$G$9,1,0)+IF(W10=$G$10,1,0)+IF(W11=$G$11,1,0)+IF(W12=$G$12,1,0)+IF(W13=$G$13,1,0)+IF(W14=$G$14,1,0)+IF(W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X3" s="14" t="e">
        <f>SUM(IF(X4=$G$4,1,0)+IF(X5=$G$5,1,0)+IF(X6=$G$6,1,0)+IF(X7=$G$7,1,0)+IF(X8=$G$8,1,0)+IF(X9=$G$9,1,0)+IF(X10=$G$10,1,0)+IF(X11=$G$11,1,0)+IF(X12=$G$12,1,0)+IF(X13=$G$13,1,0)+IF(X14=$G$14,1,0)+IF(X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Y3" s="14" t="e">
        <f>SUM(IF(Y4=$G$4,1,0)+IF(Y5=$G$5,1,0)+IF(Y6=$G$6,1,0)+IF(Y7=$G$7,1,0)+IF(Y8=$G$8,1,0)+IF(Y9=$G$9,1,0)+IF(Y10=$G$10,1,0)+IF(Y11=$G$11,1,0)+IF(Y12=$G$12,1,0)+IF(Y13=$G$13,1,0)+IF(Y14=$G$14,1,0)+IF(Y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Z3" s="14" t="e">
        <f>SUM(IF(Z4=$G$4,1,0)+IF(Z5=$G$5,1,0)+IF(Z6=$G$6,1,0)+IF(Z7=$G$7,1,0)+IF(Z8=$G$8,1,0)+IF(Z9=$G$9,1,0)+IF(Z10=$G$10,1,0)+IF(Z11=$G$11,1,0)+IF(Z12=$G$12,1,0)+IF(Z13=$G$13,1,0)+IF(Z14=$G$14,1,0)+IF(Z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A3" s="14" t="e">
        <f>SUM(IF(AA4=$G$4,1,0)+IF(AA5=$G$5,1,0)+IF(AA6=$G$6,1,0)+IF(AA7=$G$7,1,0)+IF(AA8=$G$8,1,0)+IF(AA9=$G$9,1,0)+IF(AA10=$G$10,1,0)+IF(AA11=$G$11,1,0)+IF(AA12=$G$12,1,0)+IF(AA13=$G$13,1,0)+IF(AA14=$G$14,1,0)+IF(AA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B3" s="14" t="e">
        <f>SUM(IF(AB4=$G$4,1,0)+IF(AB5=$G$5,1,0)+IF(AB6=$G$6,1,0)+IF(AB7=$G$7,1,0)+IF(AB8=$G$8,1,0)+IF(AB9=$G$9,1,0)+IF(AB10=$G$10,1,0)+IF(AB11=$G$11,1,0)+IF(AB12=$G$12,1,0)+IF(AB13=$G$13,1,0)+IF(AB14=$G$14,1,0)+IF(AB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C3" s="14" t="e">
        <f>SUM(IF(AC4=$G$4,1,0)+IF(AC5=$G$5,1,0)+IF(AC6=$G$6,1,0)+IF(AC7=$G$7,1,0)+IF(AC8=$G$8,1,0)+IF(AC9=$G$9,1,0)+IF(AC10=$G$10,1,0)+IF(AC11=$G$11,1,0)+IF(AC12=$G$12,1,0)+IF(AC13=$G$13,1,0)+IF(AC14=$G$14,1,0)+IF(AC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D3" s="14" t="e">
        <f>SUM(IF(AD4=$G$4,1,0)+IF(AD5=$G$5,1,0)+IF(AD6=$G$6,1,0)+IF(AD7=$G$7,1,0)+IF(AD8=$G$8,1,0)+IF(AD9=$G$9,1,0)+IF(AD10=$G$10,1,0)+IF(AD11=$G$11,1,0)+IF(AD12=$G$12,1,0)+IF(AD13=$G$13,1,0)+IF(AD14=$G$14,1,0)+IF(AD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E3" s="14" t="e">
        <f>SUM(IF(AE4=$G$4,1,0)+IF(AE5=$G$5,1,0)+IF(AE6=$G$6,1,0)+IF(AE7=$G$7,1,0)+IF(AE8=$G$8,1,0)+IF(AE9=$G$9,1,0)+IF(AE10=$G$10,1,0)+IF(AE11=$G$11,1,0)+IF(AE12=$G$12,1,0)+IF(AE13=$G$13,1,0)+IF(AE14=$G$14,1,0)+IF(AE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F3" s="14" t="e">
        <f>SUM(IF(AF4=$G$4,1,0)+IF(AF5=$G$5,1,0)+IF(AF6=$G$6,1,0)+IF(AF7=$G$7,1,0)+IF(AF8=$G$8,1,0)+IF(AF9=$G$9,1,0)+IF(AF10=$G$10,1,0)+IF(AF11=$G$11,1,0)+IF(AF12=$G$12,1,0)+IF(AF13=$G$13,1,0)+IF(AF14=$G$14,1,0)+IF(AF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</row>
    <row r="4" spans="1:32" ht="15.6" x14ac:dyDescent="0.3">
      <c r="A4" s="70" t="s">
        <v>116</v>
      </c>
      <c r="B4" s="34">
        <v>1</v>
      </c>
      <c r="C4" s="35"/>
      <c r="D4" s="35"/>
      <c r="E4" s="35"/>
      <c r="F4" s="35"/>
      <c r="G4" s="35" t="str">
        <f>IF(OR(E4="",F4=""),"",IF(E4&gt;F4,"L",IF(E4&lt;F4,"V","E")))</f>
        <v/>
      </c>
      <c r="H4" s="23"/>
      <c r="I4" s="24"/>
      <c r="J4" s="23"/>
      <c r="K4" s="23"/>
      <c r="L4" s="23"/>
      <c r="M4" s="24"/>
      <c r="N4" s="23"/>
      <c r="O4" s="23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70"/>
      <c r="B5" s="34">
        <v>2</v>
      </c>
      <c r="C5" s="35"/>
      <c r="D5" s="35"/>
      <c r="E5" s="35"/>
      <c r="F5" s="35"/>
      <c r="G5" s="35" t="str">
        <f t="shared" ref="G5:G19" si="0">IF(OR(E5="",F5=""),"",IF(E5&gt;F5,"L",IF(E5&lt;F5,"V","E")))</f>
        <v/>
      </c>
      <c r="H5" s="23"/>
      <c r="I5" s="24"/>
      <c r="J5" s="23"/>
      <c r="K5" s="23"/>
      <c r="L5" s="23"/>
      <c r="M5" s="24"/>
      <c r="N5" s="23"/>
      <c r="O5" s="23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70"/>
      <c r="B6" s="34">
        <v>3</v>
      </c>
      <c r="C6" s="35"/>
      <c r="D6" s="35"/>
      <c r="E6" s="35"/>
      <c r="F6" s="35"/>
      <c r="G6" s="35" t="str">
        <f t="shared" si="0"/>
        <v/>
      </c>
      <c r="H6" s="23"/>
      <c r="I6" s="24"/>
      <c r="J6" s="23"/>
      <c r="K6" s="23"/>
      <c r="L6" s="23"/>
      <c r="M6" s="24"/>
      <c r="N6" s="23"/>
      <c r="O6" s="23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70"/>
      <c r="B7" s="34">
        <v>4</v>
      </c>
      <c r="C7" s="35"/>
      <c r="D7" s="35"/>
      <c r="E7" s="35"/>
      <c r="F7" s="35"/>
      <c r="G7" s="35" t="str">
        <f t="shared" si="0"/>
        <v/>
      </c>
      <c r="H7" s="23"/>
      <c r="I7" s="24"/>
      <c r="J7" s="23"/>
      <c r="K7" s="23"/>
      <c r="L7" s="23"/>
      <c r="M7" s="24"/>
      <c r="N7" s="23"/>
      <c r="O7" s="23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70"/>
      <c r="B8" s="34">
        <v>5</v>
      </c>
      <c r="C8" s="35"/>
      <c r="D8" s="35"/>
      <c r="E8" s="35"/>
      <c r="F8" s="35"/>
      <c r="G8" s="35" t="str">
        <f t="shared" si="0"/>
        <v/>
      </c>
      <c r="H8" s="23"/>
      <c r="I8" s="24"/>
      <c r="J8" s="23"/>
      <c r="K8" s="23"/>
      <c r="L8" s="23"/>
      <c r="M8" s="24"/>
      <c r="N8" s="23"/>
      <c r="O8" s="23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70"/>
      <c r="B9" s="34">
        <v>6</v>
      </c>
      <c r="C9" s="35"/>
      <c r="D9" s="35"/>
      <c r="E9" s="35"/>
      <c r="F9" s="35"/>
      <c r="G9" s="35" t="str">
        <f t="shared" si="0"/>
        <v/>
      </c>
      <c r="H9" s="23"/>
      <c r="I9" s="24"/>
      <c r="J9" s="23"/>
      <c r="K9" s="23"/>
      <c r="L9" s="23"/>
      <c r="M9" s="24"/>
      <c r="N9" s="23"/>
      <c r="O9" s="23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70"/>
      <c r="B10" s="34">
        <v>7</v>
      </c>
      <c r="C10" s="35"/>
      <c r="D10" s="35"/>
      <c r="E10" s="35"/>
      <c r="F10" s="35"/>
      <c r="G10" s="35" t="str">
        <f t="shared" si="0"/>
        <v/>
      </c>
      <c r="H10" s="23"/>
      <c r="I10" s="24"/>
      <c r="J10" s="23"/>
      <c r="K10" s="23"/>
      <c r="L10" s="23"/>
      <c r="M10" s="24"/>
      <c r="N10" s="23"/>
      <c r="O10" s="23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70"/>
      <c r="B11" s="34">
        <v>8</v>
      </c>
      <c r="C11" s="35"/>
      <c r="D11" s="35"/>
      <c r="E11" s="35"/>
      <c r="F11" s="35"/>
      <c r="G11" s="35" t="str">
        <f t="shared" si="0"/>
        <v/>
      </c>
      <c r="H11" s="23"/>
      <c r="I11" s="24"/>
      <c r="J11" s="23"/>
      <c r="K11" s="23"/>
      <c r="L11" s="23"/>
      <c r="M11" s="24"/>
      <c r="N11" s="23"/>
      <c r="O11" s="23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70" t="s">
        <v>117</v>
      </c>
      <c r="B12" s="34">
        <v>9</v>
      </c>
      <c r="C12" s="35"/>
      <c r="D12" s="35"/>
      <c r="E12" s="35"/>
      <c r="F12" s="35"/>
      <c r="G12" s="35" t="str">
        <f t="shared" si="0"/>
        <v/>
      </c>
      <c r="H12" s="23"/>
      <c r="I12" s="24"/>
      <c r="J12" s="23"/>
      <c r="K12" s="23"/>
      <c r="L12" s="23"/>
      <c r="M12" s="24"/>
      <c r="N12" s="23"/>
      <c r="O12" s="23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70"/>
      <c r="B13" s="34">
        <v>10</v>
      </c>
      <c r="C13" s="35"/>
      <c r="D13" s="35"/>
      <c r="E13" s="35"/>
      <c r="F13" s="35"/>
      <c r="G13" s="35" t="str">
        <f t="shared" si="0"/>
        <v/>
      </c>
      <c r="H13" s="23"/>
      <c r="I13" s="24"/>
      <c r="J13" s="23"/>
      <c r="K13" s="23"/>
      <c r="L13" s="23"/>
      <c r="M13" s="24"/>
      <c r="N13" s="23"/>
      <c r="O13" s="23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70"/>
      <c r="B14" s="34">
        <v>11</v>
      </c>
      <c r="C14" s="35"/>
      <c r="D14" s="35"/>
      <c r="E14" s="35"/>
      <c r="F14" s="35"/>
      <c r="G14" s="35" t="str">
        <f t="shared" si="0"/>
        <v/>
      </c>
      <c r="H14" s="23"/>
      <c r="I14" s="24"/>
      <c r="J14" s="23"/>
      <c r="K14" s="23"/>
      <c r="L14" s="23"/>
      <c r="M14" s="24"/>
      <c r="N14" s="23"/>
      <c r="O14" s="23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70"/>
      <c r="B15" s="34">
        <v>12</v>
      </c>
      <c r="C15" s="35"/>
      <c r="D15" s="35"/>
      <c r="E15" s="35"/>
      <c r="F15" s="35"/>
      <c r="G15" s="35" t="str">
        <f t="shared" si="0"/>
        <v/>
      </c>
      <c r="H15" s="23"/>
      <c r="I15" s="24"/>
      <c r="J15" s="23"/>
      <c r="K15" s="23"/>
      <c r="L15" s="23"/>
      <c r="M15" s="24"/>
      <c r="N15" s="23"/>
      <c r="O15" s="23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70"/>
      <c r="B16" s="34">
        <v>13</v>
      </c>
      <c r="C16" s="35"/>
      <c r="D16" s="35"/>
      <c r="E16" s="35"/>
      <c r="F16" s="35"/>
      <c r="G16" s="35" t="str">
        <f t="shared" si="0"/>
        <v/>
      </c>
      <c r="H16" s="23"/>
      <c r="I16" s="24"/>
      <c r="J16" s="23"/>
      <c r="K16" s="23"/>
      <c r="L16" s="23"/>
      <c r="M16" s="24"/>
      <c r="N16" s="23"/>
      <c r="O16" s="23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70"/>
      <c r="B17" s="34">
        <v>14</v>
      </c>
      <c r="C17" s="35"/>
      <c r="D17" s="35"/>
      <c r="E17" s="35"/>
      <c r="F17" s="35"/>
      <c r="G17" s="35" t="str">
        <f t="shared" si="0"/>
        <v/>
      </c>
      <c r="H17" s="23"/>
      <c r="I17" s="24"/>
      <c r="J17" s="23"/>
      <c r="K17" s="23"/>
      <c r="L17" s="23"/>
      <c r="M17" s="24"/>
      <c r="N17" s="23"/>
      <c r="O17" s="23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70"/>
      <c r="B18" s="34">
        <v>15</v>
      </c>
      <c r="C18" s="35"/>
      <c r="D18" s="35"/>
      <c r="E18" s="35"/>
      <c r="F18" s="35"/>
      <c r="G18" s="35" t="str">
        <f t="shared" si="0"/>
        <v/>
      </c>
      <c r="H18" s="23"/>
      <c r="I18" s="24"/>
      <c r="J18" s="23"/>
      <c r="K18" s="23"/>
      <c r="L18" s="23"/>
      <c r="M18" s="24"/>
      <c r="N18" s="23"/>
      <c r="O18" s="23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70"/>
      <c r="B19" s="34">
        <v>16</v>
      </c>
      <c r="C19" s="35"/>
      <c r="D19" s="35"/>
      <c r="E19" s="35"/>
      <c r="F19" s="35"/>
      <c r="G19" s="35" t="str">
        <f t="shared" si="0"/>
        <v/>
      </c>
      <c r="H19" s="23"/>
      <c r="I19" s="24"/>
      <c r="J19" s="23"/>
      <c r="K19" s="23"/>
      <c r="L19" s="23"/>
      <c r="M19" s="24"/>
      <c r="N19" s="23"/>
      <c r="O19" s="23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27"/>
      <c r="B20" s="27"/>
      <c r="C20" s="27"/>
      <c r="D20" s="62" t="s">
        <v>14</v>
      </c>
      <c r="E20" s="37"/>
      <c r="F20" s="38"/>
      <c r="G20" s="2">
        <f>SUM(E4:F19)</f>
        <v>0</v>
      </c>
      <c r="H20" s="25"/>
      <c r="I20" s="26"/>
      <c r="J20" s="25"/>
      <c r="K20" s="25"/>
      <c r="L20" s="25"/>
      <c r="M20" s="26"/>
      <c r="N20" s="25"/>
      <c r="O20" s="25"/>
      <c r="P20" s="26"/>
      <c r="Q20" s="26"/>
      <c r="R20" s="26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</row>
    <row r="21" spans="1:32" ht="15.6" x14ac:dyDescent="0.3">
      <c r="A21" s="27"/>
      <c r="B21" s="27"/>
      <c r="C21" s="27"/>
      <c r="D21" s="63" t="s">
        <v>15</v>
      </c>
      <c r="E21" s="37"/>
      <c r="F21" s="37"/>
      <c r="G21" s="38"/>
      <c r="H21" s="28">
        <f t="shared" ref="H21:R21" si="1">SUM(H22:H25)</f>
        <v>100</v>
      </c>
      <c r="I21" s="28">
        <f t="shared" si="1"/>
        <v>100</v>
      </c>
      <c r="J21" s="28">
        <f t="shared" si="1"/>
        <v>100</v>
      </c>
      <c r="K21" s="28">
        <f t="shared" si="1"/>
        <v>100</v>
      </c>
      <c r="L21" s="28">
        <f t="shared" si="1"/>
        <v>100</v>
      </c>
      <c r="M21" s="28">
        <f t="shared" si="1"/>
        <v>100</v>
      </c>
      <c r="N21" s="28">
        <f t="shared" si="1"/>
        <v>100</v>
      </c>
      <c r="O21" s="28">
        <f t="shared" si="1"/>
        <v>100</v>
      </c>
      <c r="P21" s="28">
        <f t="shared" si="1"/>
        <v>100</v>
      </c>
      <c r="Q21" s="28">
        <f t="shared" si="1"/>
        <v>100</v>
      </c>
      <c r="R21" s="28">
        <f t="shared" si="1"/>
        <v>100</v>
      </c>
      <c r="S21" s="28">
        <f t="shared" ref="S21:AF21" si="2">SUM(S22:S25)</f>
        <v>100</v>
      </c>
      <c r="T21" s="28">
        <f t="shared" si="2"/>
        <v>100</v>
      </c>
      <c r="U21" s="28">
        <f t="shared" si="2"/>
        <v>100</v>
      </c>
      <c r="V21" s="28">
        <f t="shared" si="2"/>
        <v>100</v>
      </c>
      <c r="W21" s="28">
        <f t="shared" si="2"/>
        <v>100</v>
      </c>
      <c r="X21" s="28">
        <f t="shared" si="2"/>
        <v>100</v>
      </c>
      <c r="Y21" s="28">
        <f t="shared" si="2"/>
        <v>100</v>
      </c>
      <c r="Z21" s="28">
        <f t="shared" si="2"/>
        <v>100</v>
      </c>
      <c r="AA21" s="28">
        <f t="shared" si="2"/>
        <v>100</v>
      </c>
      <c r="AB21" s="28">
        <f t="shared" si="2"/>
        <v>100</v>
      </c>
      <c r="AC21" s="28">
        <f t="shared" si="2"/>
        <v>100</v>
      </c>
      <c r="AD21" s="28">
        <f t="shared" si="2"/>
        <v>100</v>
      </c>
      <c r="AE21" s="28">
        <f t="shared" si="2"/>
        <v>100</v>
      </c>
      <c r="AF21" s="28">
        <f t="shared" si="2"/>
        <v>100</v>
      </c>
    </row>
    <row r="22" spans="1:32" ht="14.4" x14ac:dyDescent="0.3">
      <c r="A22" s="1"/>
      <c r="B22" s="1"/>
      <c r="C22" s="1"/>
      <c r="D22" s="1"/>
      <c r="E22" s="1"/>
      <c r="F22" s="1"/>
      <c r="G22" s="1"/>
      <c r="H22" s="3">
        <f t="shared" ref="H22:AF22" si="3">IF(H20=$G$20,100,IF($G$20-H20=1,99,IF($G$20-H20=-1,99,IF($G$20-H20=2,98,IF($G$20-H20=-2,98,IF($G$20-H20=3,97,IF($G$20-H20=-3,97,IF($G$20-H20=4,96,IF($G$20-H20=-4,96,IF($G$20-H20=5,95,IF($G$20-H20=-5,95,IF($G$20-H20=6,94,IF($G$20-H20=-6,94,IF($G$20-H20=7,93,IF($G$20-H20=-7,93,IF($G$20-H20=8,92,IF($G$20-H20=-8,92,IF($G$20-H20=9,91,IF($G$20-H20=-9,91,IF($G$20-H20=10,90,IF($G$20-H20=-10,90,IF($G$20-H20=11,89,IF($G$20-H20=-11,89,IF($G$20-H20=12,88,IF($G$20-H20=-12,88,IF($G$20-H20=13,87,IF($G$20-H20=-13,87,IF($G$20-H20=14,86,IF($G$20-H20=-14,86,IF($G$20-H20=15,85,IF($G$20-H20=-15,85,IF($G$20-H20=16,84,IF($G$20-H20=-16,84,IF($G$20-H20=17,83,IF($G$20-H20=-17,83,IF($G$20-H20=18,82,IF($G$20-H20=-18,82,IF($G$20-H20=19,81,IF($G$20-H20=-19,81,IF($G$20-H20=20,80,IF($G$20-H20=-20,80,IF($G$20-H20=21,79,IF($G$20-H20=-21,79,IF($G$20-H20=22,78,IF($G$20-H20=-22,78,IF($G$20-H20=23,77,IF($G$20-H20=-23,77,IF($G$20-H20=24,76,IF($G$20-H20=-24,76,IF($G$20-H20=25,75,IF($G$20-H20=-25,75,IF($G$20-H20=26,74,IF($G$20-H20=-26,74,IF($G$20-H20=27,73,IF($G$20-H20=-27,73,IF($G$20-H20=28,72,IF($G$20-H20=-28,72,IF($G$20-H20=29,71,IF($G$20-H20=-29,71,IF($G$20-H20=30,70,IF($G$20-H20=-30,70,IF($G$20-H20=31,69,IF($G$20-H20=-31,69,IF($G$20-H20=32,68,IF($G$20-H20=-32,68,0)))))))))))))))))))))))))))))))))))))))))))))))))))))))))))))))))</f>
        <v>100</v>
      </c>
      <c r="I22" s="3">
        <f>IF(I20=$G$20,100,IF($G$20-I20=1,99,IF($G$20-I20=-1,99,IF($G$20-I20=2,98,IF($G$20-I20=-2,98,IF($G$20-I20=3,97,IF($G$20-I20=-3,97,IF($G$20-I20=4,96,IF($G$20-I20=-4,96,IF($G$20-I20=5,95,IF($G$20-I20=-5,95,IF($G$20-I20=6,94,IF($G$20-I20=-6,94,IF($G$20-I20=7,93,IF($G$20-I20=-7,93,IF($G$20-I20=8,92,IF($G$20-I20=-8,92,IF($G$20-I20=9,91,IF($G$20-I20=-9,91,IF($G$20-I20=10,90,IF($G$20-I20=-10,90,IF($G$20-I20=11,89,IF($G$20-I20=-11,89,IF($G$20-I20=12,88,IF($G$20-I20=-12,88,IF($G$20-I20=13,87,IF($G$20-I20=-13,87,IF($G$20-I20=14,86,IF($G$20-I20=-14,86,IF($G$20-I20=15,85,IF($G$20-I20=-15,85,IF($G$20-I20=16,84,IF($G$20-I20=-16,84,IF($G$20-I20=17,83,IF($G$20-I20=-17,83,IF($G$20-I20=18,82,IF($G$20-I20=-18,82,IF($G$20-I20=19,81,IF($G$20-I20=-19,81,IF($G$20-I20=20,80,IF($G$20-I20=-20,80,IF($G$20-I20=21,79,IF($G$20-I20=-21,79,IF($G$20-I20=22,78,IF($G$20-I20=-22,78,IF($G$20-I20=23,77,IF($G$20-I20=-23,77,IF($G$20-I20=24,76,IF($G$20-I20=-24,76,IF($G$20-I20=25,75,IF($G$20-I20=-25,75,IF($G$20-I20=26,74,IF($G$20-I20=-26,74,IF($G$20-I20=27,73,IF($G$20-I20=-27,73,IF($G$20-I20=28,72,IF($G$20-I20=-28,72,IF($G$20-I20=29,71,IF($G$20-I20=-29,71,IF($G$20-I20=30,70,IF($G$20-I20=-30,70,IF($G$20-I20=31,69,IF($G$20-I20=-31,69,IF($G$20-I20=32,68,IF($G$20-I20=-32,68,0)))))))))))))))))))))))))))))))))))))))))))))))))))))))))))))))))</f>
        <v>100</v>
      </c>
      <c r="J22" s="3">
        <f t="shared" si="3"/>
        <v>100</v>
      </c>
      <c r="K22" s="3">
        <f t="shared" si="3"/>
        <v>100</v>
      </c>
      <c r="L22" s="3">
        <f t="shared" si="3"/>
        <v>100</v>
      </c>
      <c r="M22" s="3">
        <f t="shared" si="3"/>
        <v>100</v>
      </c>
      <c r="N22" s="3">
        <f t="shared" si="3"/>
        <v>100</v>
      </c>
      <c r="O22" s="3">
        <f t="shared" si="3"/>
        <v>100</v>
      </c>
      <c r="P22" s="3">
        <f t="shared" si="3"/>
        <v>100</v>
      </c>
      <c r="Q22" s="3">
        <f t="shared" si="3"/>
        <v>100</v>
      </c>
      <c r="R22" s="3">
        <f t="shared" si="3"/>
        <v>100</v>
      </c>
      <c r="S22" s="3">
        <f t="shared" si="3"/>
        <v>100</v>
      </c>
      <c r="T22" s="3">
        <f t="shared" si="3"/>
        <v>100</v>
      </c>
      <c r="U22" s="3">
        <f t="shared" si="3"/>
        <v>100</v>
      </c>
      <c r="V22" s="3">
        <f t="shared" si="3"/>
        <v>100</v>
      </c>
      <c r="W22" s="3">
        <f t="shared" si="3"/>
        <v>100</v>
      </c>
      <c r="X22" s="3">
        <f t="shared" si="3"/>
        <v>100</v>
      </c>
      <c r="Y22" s="3">
        <f t="shared" si="3"/>
        <v>100</v>
      </c>
      <c r="Z22" s="3">
        <f t="shared" si="3"/>
        <v>100</v>
      </c>
      <c r="AA22" s="3">
        <f t="shared" si="3"/>
        <v>100</v>
      </c>
      <c r="AB22" s="3">
        <f t="shared" si="3"/>
        <v>100</v>
      </c>
      <c r="AC22" s="3">
        <f t="shared" si="3"/>
        <v>100</v>
      </c>
      <c r="AD22" s="3">
        <f t="shared" si="3"/>
        <v>100</v>
      </c>
      <c r="AE22" s="3">
        <f t="shared" si="3"/>
        <v>100</v>
      </c>
      <c r="AF22" s="3">
        <f t="shared" si="3"/>
        <v>100</v>
      </c>
    </row>
    <row r="23" spans="1:32" ht="14.4" x14ac:dyDescent="0.3">
      <c r="A23" s="1"/>
      <c r="B23" s="1"/>
      <c r="C23" s="1"/>
      <c r="D23" s="1"/>
      <c r="E23" s="1"/>
      <c r="F23" s="1"/>
      <c r="G23" s="1"/>
      <c r="H23" s="3">
        <f t="shared" ref="H23:AF23" si="4">IF($G$20-H20=33,67,IF($G$20-H20=-33,67,IF($G$20-H20=34,66,IF($G$20-H20=-34,66,IF($G$20-H20=35,65,IF($G$20-H20=-35,65,IF($G$20-H20=36,64,IF($G$20-H20=-36,64,IF($G$20-H20=37,63,IF($G$20-H20=-37,63,IF($G$20-H20=38,62,IF($G$20-H20=-38,62,IF($G$20-H20=39,61,IF($G$20-H20=-39,61,IF($G$20-H20=40,60,IF($G$20-H20=-40,60,IF($G$20-H20=41,59,IF($G$20-H20=-41,59,IF($G$20-H20=42,58,IF($G$20-H20=-42,58,IF($G$20-H20=43,57,IF($G$20-H20=-43,57,IF($G$20-H20=44,56,IF($G$20-H20=-44,56,IF($G$20-H20=45,55,IF($G$20-H20=-45,55,IF($G$20-H20=46,54,IF($G$20-H20=-46,54,IF($G$20-H20=47,53,IF($G$20-H20=-47,53,IF($G$20-H20=48,52,IF($G$20-H20=-48,52,IF($G$20-H20=49,51,IF($G$20-H20=-49,51,IF($G$20-H20=50,50,IF($G$20-H20=-50,50,IF($G$20-H20=51,49,IF($G$20-H20=-51,49,IF($G$20-H20=52,48,IF($G$20-H20=-52,48,IF($G$20-H20=53,47,IF($G$20-H20=-53,47,IF($G$20-H20=54,46,IF($G$20-H20=-54,46,IF($G$20-H20=55,45,IF($G$20-H20=-55,45,IF($G$20-H20=56,44,IF($G$20-H20=-56,44,IF($G$20-H20=57,43,IF($G$20-H20=-57,43,IF($G$20-H20=58,42,IF($G$20-H20=-58,42,IF($G$20-H20=59,41,IF($G$20-H20=-59,41,IF($G$20-H20=60,40,IF($G$20-H20=-60,40,IF($G$20-H20=61,39,IF($G$20-H20=-61,39,IF($G$20-H20=62,38,IF($G$20-H20=-62,38,IF($G$20-H20=63,37,IF($G$20-H20=-63,37,IF($G$20-H20=64,36,IF($G$20-H20=-64,36,IF($G$20-H20=65,35,0)))))))))))))))))))))))))))))))))))))))))))))))))))))))))))))))))</f>
        <v>0</v>
      </c>
      <c r="I23" s="3">
        <f t="shared" si="4"/>
        <v>0</v>
      </c>
      <c r="J23" s="3">
        <f t="shared" si="4"/>
        <v>0</v>
      </c>
      <c r="K23" s="3">
        <f t="shared" si="4"/>
        <v>0</v>
      </c>
      <c r="L23" s="3">
        <f t="shared" si="4"/>
        <v>0</v>
      </c>
      <c r="M23" s="3">
        <f t="shared" si="4"/>
        <v>0</v>
      </c>
      <c r="N23" s="3">
        <f t="shared" si="4"/>
        <v>0</v>
      </c>
      <c r="O23" s="3">
        <f t="shared" si="4"/>
        <v>0</v>
      </c>
      <c r="P23" s="3">
        <f t="shared" si="4"/>
        <v>0</v>
      </c>
      <c r="Q23" s="3">
        <f t="shared" si="4"/>
        <v>0</v>
      </c>
      <c r="R23" s="3">
        <f t="shared" si="4"/>
        <v>0</v>
      </c>
      <c r="S23" s="3">
        <f t="shared" si="4"/>
        <v>0</v>
      </c>
      <c r="T23" s="3">
        <f t="shared" si="4"/>
        <v>0</v>
      </c>
      <c r="U23" s="3">
        <f t="shared" si="4"/>
        <v>0</v>
      </c>
      <c r="V23" s="3">
        <f t="shared" si="4"/>
        <v>0</v>
      </c>
      <c r="W23" s="3">
        <f t="shared" si="4"/>
        <v>0</v>
      </c>
      <c r="X23" s="3">
        <f t="shared" si="4"/>
        <v>0</v>
      </c>
      <c r="Y23" s="3">
        <f t="shared" si="4"/>
        <v>0</v>
      </c>
      <c r="Z23" s="3">
        <f t="shared" si="4"/>
        <v>0</v>
      </c>
      <c r="AA23" s="3">
        <f t="shared" si="4"/>
        <v>0</v>
      </c>
      <c r="AB23" s="3">
        <f t="shared" si="4"/>
        <v>0</v>
      </c>
      <c r="AC23" s="3">
        <f t="shared" si="4"/>
        <v>0</v>
      </c>
      <c r="AD23" s="3">
        <f t="shared" si="4"/>
        <v>0</v>
      </c>
      <c r="AE23" s="3">
        <f t="shared" si="4"/>
        <v>0</v>
      </c>
      <c r="AF23" s="3">
        <f t="shared" si="4"/>
        <v>0</v>
      </c>
    </row>
    <row r="24" spans="1:32" ht="14.4" x14ac:dyDescent="0.3">
      <c r="A24" s="1"/>
      <c r="B24" s="1"/>
      <c r="C24" s="1"/>
      <c r="D24" s="1"/>
      <c r="E24" s="1"/>
      <c r="F24" s="1"/>
      <c r="G24" s="1"/>
      <c r="H24" s="3">
        <f t="shared" ref="H24:AF24" si="5">IF($G$20-H20=-65,35,IF($G$20-H20=66,34,IF($G$20-H20=-66,34,IF($G$20-H20=67,33,IF($G$20-H20=-67,33,IF($G$20-H20=68,32,IF($G$20-H20=-68,32,IF($G$20-H20=69,31,IF($G$20-H20=-69,31,IF($G$20-H20=70,30,IF($G$20-H20=-70,30,IF($G$20-H20=71,29,IF($G$20-H20=-71,29,IF($G$20-H20=72,28,IF($G$20-H20=-72,28,IF($G$20-H20=73,27,IF($G$20-H20=-73,27,IF($G$20-H20=74,26,IF($G$20-H20=-74,26,IF($G$20-H20=75,25,IF($G$20-H20=-75,25,IF($G$20-H20=76,24,IF($G$20-H20=-76,24,IF($G$20-H20=77,23,IF($G$20-H20=-77,23,IF($G$20-H20=78,22,IF($G$20-H20=-78,22,IF($G$20-H20=79,21,IF($G$20-H20=-79,21,IF($G$20-H20=80,20,IF($G$20-H20=-80,20,IF($G$20-H20=81,19,IF($G$20-H20=-81,19,IF($G$20-H20=82,18,IF($G$20-H20=-82,18,IF($G$20-H20=83,17,IF($G$20-H20=-83,17,IF($G$20-H20=84,16,IF($G$20-H20=-84,16,IF($G$20-H20=85,15,IF($G$20-H20=-85,15,IF($G$20-H20=86,14,IF($G$20-H20=-86,14,IF($G$20-H20=87,13,IF($G$20-H20=-87,13,IF($G$20-H20=88,12,IF($G$20-H20=-88,12,IF($G$20-H20=89,11,IF($G$20-H20=-89,11,IF($G$20-H20=90,10,IF($G$20-H20=-90,10,IF($G$20-H20=91,9,IF($G$20-H20=-91,9,IF($G$20-H20=92,8,IF($G$20-H20=-92,8,IF($G$20-H20=93,7,IF($G$20-H20=-93,7,IF($G$20-H20=94,6,IF($G$20-H20=-94,6,IF($G$20-H20=95,5,IF($G$20-H20=-95,5,IF($G$20-H20=96,4,0))))))))))))))))))))))))))))))))))))))))))))))))))))))))))))))</f>
        <v>0</v>
      </c>
      <c r="I24" s="3">
        <f t="shared" si="5"/>
        <v>0</v>
      </c>
      <c r="J24" s="3">
        <f t="shared" si="5"/>
        <v>0</v>
      </c>
      <c r="K24" s="3">
        <f t="shared" si="5"/>
        <v>0</v>
      </c>
      <c r="L24" s="3">
        <f t="shared" si="5"/>
        <v>0</v>
      </c>
      <c r="M24" s="3">
        <f t="shared" si="5"/>
        <v>0</v>
      </c>
      <c r="N24" s="3">
        <f t="shared" si="5"/>
        <v>0</v>
      </c>
      <c r="O24" s="3">
        <f t="shared" si="5"/>
        <v>0</v>
      </c>
      <c r="P24" s="3">
        <f t="shared" si="5"/>
        <v>0</v>
      </c>
      <c r="Q24" s="3">
        <f t="shared" si="5"/>
        <v>0</v>
      </c>
      <c r="R24" s="3">
        <f t="shared" si="5"/>
        <v>0</v>
      </c>
      <c r="S24" s="3">
        <f t="shared" si="5"/>
        <v>0</v>
      </c>
      <c r="T24" s="3">
        <f t="shared" si="5"/>
        <v>0</v>
      </c>
      <c r="U24" s="3">
        <f t="shared" si="5"/>
        <v>0</v>
      </c>
      <c r="V24" s="3">
        <f t="shared" si="5"/>
        <v>0</v>
      </c>
      <c r="W24" s="3">
        <f t="shared" si="5"/>
        <v>0</v>
      </c>
      <c r="X24" s="3">
        <f t="shared" si="5"/>
        <v>0</v>
      </c>
      <c r="Y24" s="3">
        <f t="shared" si="5"/>
        <v>0</v>
      </c>
      <c r="Z24" s="3">
        <f t="shared" si="5"/>
        <v>0</v>
      </c>
      <c r="AA24" s="3">
        <f t="shared" si="5"/>
        <v>0</v>
      </c>
      <c r="AB24" s="3">
        <f t="shared" si="5"/>
        <v>0</v>
      </c>
      <c r="AC24" s="3">
        <f t="shared" si="5"/>
        <v>0</v>
      </c>
      <c r="AD24" s="3">
        <f t="shared" si="5"/>
        <v>0</v>
      </c>
      <c r="AE24" s="3">
        <f t="shared" si="5"/>
        <v>0</v>
      </c>
      <c r="AF24" s="3">
        <f t="shared" si="5"/>
        <v>0</v>
      </c>
    </row>
    <row r="25" spans="1:32" ht="14.4" x14ac:dyDescent="0.3">
      <c r="A25" s="1"/>
      <c r="B25" s="1"/>
      <c r="C25" s="1"/>
      <c r="D25" s="1"/>
      <c r="E25" s="1"/>
      <c r="F25" s="1"/>
      <c r="G25" s="1"/>
      <c r="H25" s="3">
        <f t="shared" ref="H25:AF25" si="6">IF($G$20-H20=-96,4,IF($G$20-H20=97,3,IF($G$20-H20=-97,3,IF($G$20-H20=98,2,IF($G$20-H20=-98,2,IF($G$20-H20=99,1,IF($G$20-H20=-99,1,IF($G$20-H20=100,0,IF($G$20-H20=-100,0,0)))))))))</f>
        <v>0</v>
      </c>
      <c r="I25" s="3">
        <f t="shared" si="6"/>
        <v>0</v>
      </c>
      <c r="J25" s="3">
        <f t="shared" si="6"/>
        <v>0</v>
      </c>
      <c r="K25" s="3">
        <f t="shared" si="6"/>
        <v>0</v>
      </c>
      <c r="L25" s="3">
        <f t="shared" si="6"/>
        <v>0</v>
      </c>
      <c r="M25" s="3">
        <f t="shared" si="6"/>
        <v>0</v>
      </c>
      <c r="N25" s="3">
        <f t="shared" si="6"/>
        <v>0</v>
      </c>
      <c r="O25" s="3">
        <f t="shared" si="6"/>
        <v>0</v>
      </c>
      <c r="P25" s="3">
        <f t="shared" si="6"/>
        <v>0</v>
      </c>
      <c r="Q25" s="3">
        <f t="shared" si="6"/>
        <v>0</v>
      </c>
      <c r="R25" s="3">
        <f t="shared" si="6"/>
        <v>0</v>
      </c>
      <c r="S25" s="3">
        <f t="shared" si="6"/>
        <v>0</v>
      </c>
      <c r="T25" s="3">
        <f t="shared" si="6"/>
        <v>0</v>
      </c>
      <c r="U25" s="3">
        <f t="shared" si="6"/>
        <v>0</v>
      </c>
      <c r="V25" s="3">
        <f t="shared" si="6"/>
        <v>0</v>
      </c>
      <c r="W25" s="3">
        <f t="shared" si="6"/>
        <v>0</v>
      </c>
      <c r="X25" s="3">
        <f t="shared" si="6"/>
        <v>0</v>
      </c>
      <c r="Y25" s="3">
        <f t="shared" si="6"/>
        <v>0</v>
      </c>
      <c r="Z25" s="3">
        <f t="shared" si="6"/>
        <v>0</v>
      </c>
      <c r="AA25" s="3">
        <f t="shared" si="6"/>
        <v>0</v>
      </c>
      <c r="AB25" s="3">
        <f t="shared" si="6"/>
        <v>0</v>
      </c>
      <c r="AC25" s="3">
        <f t="shared" si="6"/>
        <v>0</v>
      </c>
      <c r="AD25" s="3">
        <f t="shared" si="6"/>
        <v>0</v>
      </c>
      <c r="AE25" s="3">
        <f t="shared" si="6"/>
        <v>0</v>
      </c>
      <c r="AF25" s="3">
        <f t="shared" si="6"/>
        <v>0</v>
      </c>
    </row>
    <row r="26" spans="1:32" ht="14.4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4.4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4.4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4.4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4.4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4.4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4.4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4.4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4.4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4.4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4.4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4.4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4.4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4.4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4.4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4.4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4.4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4.4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4.4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" customHeight="1" x14ac:dyDescent="0.3">
      <c r="A45" s="1"/>
      <c r="B45" s="1"/>
      <c r="C45" s="1"/>
      <c r="D45" s="1"/>
      <c r="E45" s="1"/>
      <c r="F45" s="1"/>
      <c r="G45" s="1"/>
    </row>
    <row r="46" spans="1:32" ht="15" customHeight="1" x14ac:dyDescent="0.3">
      <c r="A46" s="1"/>
      <c r="B46" s="1"/>
      <c r="C46" s="1"/>
      <c r="D46" s="1"/>
      <c r="E46" s="1"/>
      <c r="F46" s="1"/>
      <c r="G46" s="1"/>
    </row>
    <row r="47" spans="1:32" ht="15" customHeight="1" x14ac:dyDescent="0.3">
      <c r="A47" s="1"/>
      <c r="B47" s="1"/>
      <c r="C47" s="1"/>
      <c r="D47" s="1"/>
      <c r="E47" s="1"/>
      <c r="F47" s="1"/>
      <c r="G47" s="1"/>
    </row>
    <row r="48" spans="1:32" ht="15" customHeight="1" x14ac:dyDescent="0.3">
      <c r="A48" s="1"/>
      <c r="B48" s="1"/>
      <c r="C48" s="1"/>
      <c r="D48" s="1"/>
      <c r="E48" s="1"/>
      <c r="F48" s="1"/>
      <c r="G48" s="1"/>
    </row>
    <row r="49" spans="1:7" ht="15" customHeight="1" x14ac:dyDescent="0.3">
      <c r="A49" s="1"/>
      <c r="B49" s="1"/>
      <c r="C49" s="1"/>
      <c r="D49" s="1"/>
      <c r="E49" s="1"/>
      <c r="F49" s="1"/>
      <c r="G49" s="1"/>
    </row>
    <row r="50" spans="1:7" ht="15" customHeight="1" x14ac:dyDescent="0.3">
      <c r="A50" s="1"/>
      <c r="B50" s="1"/>
      <c r="C50" s="1"/>
      <c r="D50" s="1"/>
      <c r="E50" s="1"/>
      <c r="F50" s="1"/>
      <c r="G50" s="1"/>
    </row>
    <row r="51" spans="1:7" ht="15" customHeight="1" x14ac:dyDescent="0.3">
      <c r="A51" s="1"/>
      <c r="B51" s="1"/>
      <c r="C51" s="1"/>
      <c r="D51" s="1"/>
      <c r="E51" s="1"/>
      <c r="F51" s="1"/>
      <c r="G51" s="1"/>
    </row>
    <row r="52" spans="1:7" ht="15" customHeight="1" x14ac:dyDescent="0.3">
      <c r="A52" s="1"/>
      <c r="B52" s="1"/>
      <c r="C52" s="1"/>
      <c r="D52" s="1"/>
      <c r="E52" s="1"/>
      <c r="F52" s="1"/>
      <c r="G52" s="1"/>
    </row>
    <row r="53" spans="1:7" ht="15" customHeight="1" x14ac:dyDescent="0.3">
      <c r="A53" s="1"/>
      <c r="B53" s="1"/>
      <c r="C53" s="1"/>
      <c r="D53" s="1"/>
      <c r="E53" s="1"/>
      <c r="F53" s="1"/>
      <c r="G53" s="1"/>
    </row>
    <row r="54" spans="1:7" ht="15" customHeight="1" x14ac:dyDescent="0.3">
      <c r="A54" s="1"/>
      <c r="B54" s="1"/>
      <c r="C54" s="1"/>
      <c r="D54" s="1"/>
      <c r="E54" s="1"/>
      <c r="F54" s="1"/>
      <c r="G54" s="1"/>
    </row>
    <row r="55" spans="1:7" ht="15" customHeight="1" x14ac:dyDescent="0.3">
      <c r="A55" s="1"/>
      <c r="B55" s="1"/>
      <c r="C55" s="1"/>
      <c r="D55" s="1"/>
      <c r="E55" s="1"/>
      <c r="F55" s="1"/>
      <c r="G55" s="1"/>
    </row>
    <row r="56" spans="1:7" ht="15" customHeight="1" x14ac:dyDescent="0.3">
      <c r="A56" s="1"/>
      <c r="B56" s="1"/>
      <c r="C56" s="1"/>
      <c r="D56" s="1"/>
      <c r="E56" s="1"/>
      <c r="F56" s="1"/>
      <c r="G56" s="1"/>
    </row>
    <row r="57" spans="1:7" ht="15" customHeight="1" x14ac:dyDescent="0.3">
      <c r="A57" s="1"/>
      <c r="B57" s="1"/>
      <c r="C57" s="1"/>
      <c r="D57" s="1"/>
      <c r="E57" s="1"/>
      <c r="F57" s="1"/>
      <c r="G57" s="1"/>
    </row>
    <row r="58" spans="1:7" ht="15" customHeight="1" x14ac:dyDescent="0.3">
      <c r="A58" s="1"/>
      <c r="B58" s="1"/>
      <c r="C58" s="1"/>
      <c r="D58" s="1"/>
      <c r="E58" s="1"/>
      <c r="F58" s="1"/>
      <c r="G58" s="1"/>
    </row>
    <row r="59" spans="1:7" ht="15" customHeight="1" x14ac:dyDescent="0.3">
      <c r="A59" s="1"/>
      <c r="B59" s="1"/>
      <c r="C59" s="1"/>
      <c r="D59" s="1"/>
      <c r="E59" s="1"/>
      <c r="F59" s="1"/>
      <c r="G59" s="1"/>
    </row>
    <row r="60" spans="1:7" ht="15" customHeight="1" x14ac:dyDescent="0.3">
      <c r="A60" s="1"/>
      <c r="B60" s="1"/>
      <c r="C60" s="1"/>
      <c r="D60" s="1"/>
      <c r="E60" s="1"/>
      <c r="F60" s="1"/>
      <c r="G60" s="1"/>
    </row>
    <row r="61" spans="1:7" ht="15" customHeight="1" x14ac:dyDescent="0.3">
      <c r="A61" s="1"/>
      <c r="B61" s="1"/>
      <c r="C61" s="1"/>
      <c r="D61" s="1"/>
      <c r="E61" s="1"/>
      <c r="F61" s="1"/>
      <c r="G61" s="1"/>
    </row>
    <row r="62" spans="1:7" ht="15" customHeight="1" x14ac:dyDescent="0.3">
      <c r="A62" s="1"/>
      <c r="B62" s="1"/>
      <c r="C62" s="1"/>
      <c r="D62" s="1"/>
      <c r="E62" s="1"/>
      <c r="F62" s="1"/>
      <c r="G62" s="1"/>
    </row>
    <row r="63" spans="1:7" ht="15" customHeight="1" x14ac:dyDescent="0.3">
      <c r="A63" s="1"/>
      <c r="B63" s="1"/>
      <c r="C63" s="1"/>
      <c r="D63" s="1"/>
      <c r="E63" s="1"/>
      <c r="F63" s="1"/>
      <c r="G63" s="1"/>
    </row>
    <row r="64" spans="1:7" ht="15" customHeight="1" x14ac:dyDescent="0.3">
      <c r="A64" s="1"/>
      <c r="B64" s="1"/>
      <c r="C64" s="1"/>
      <c r="D64" s="1"/>
      <c r="E64" s="1"/>
      <c r="F64" s="1"/>
      <c r="G64" s="1"/>
    </row>
    <row r="65" spans="1:7" ht="15" customHeight="1" x14ac:dyDescent="0.3">
      <c r="A65" s="1"/>
      <c r="B65" s="1"/>
      <c r="C65" s="1"/>
      <c r="D65" s="1"/>
      <c r="E65" s="1"/>
      <c r="F65" s="1"/>
      <c r="G65" s="1"/>
    </row>
    <row r="66" spans="1:7" ht="15" customHeight="1" x14ac:dyDescent="0.3">
      <c r="A66" s="1"/>
      <c r="B66" s="1"/>
      <c r="C66" s="1"/>
      <c r="D66" s="1"/>
      <c r="E66" s="1"/>
      <c r="F66" s="1"/>
      <c r="G66" s="1"/>
    </row>
    <row r="67" spans="1:7" ht="15" customHeight="1" x14ac:dyDescent="0.3">
      <c r="A67" s="1"/>
      <c r="B67" s="1"/>
      <c r="C67" s="1"/>
      <c r="D67" s="1"/>
      <c r="E67" s="1"/>
      <c r="F67" s="1"/>
      <c r="G67" s="1"/>
    </row>
    <row r="68" spans="1:7" ht="15" customHeight="1" x14ac:dyDescent="0.3">
      <c r="A68" s="1"/>
      <c r="B68" s="1"/>
      <c r="C68" s="1"/>
      <c r="D68" s="1"/>
      <c r="E68" s="1"/>
      <c r="F68" s="1"/>
      <c r="G68" s="1"/>
    </row>
  </sheetData>
  <mergeCells count="8">
    <mergeCell ref="A4:A11"/>
    <mergeCell ref="A12:A19"/>
    <mergeCell ref="D20:F20"/>
    <mergeCell ref="D21:G21"/>
    <mergeCell ref="A1:G1"/>
    <mergeCell ref="A2:C2"/>
    <mergeCell ref="D2:G2"/>
    <mergeCell ref="E3:F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FIFA WORLD CUP MEXICO 2026</vt:lpstr>
      <vt:lpstr>16os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2026-06-24T01:02:49Z</dcterms:modified>
</cp:coreProperties>
</file>